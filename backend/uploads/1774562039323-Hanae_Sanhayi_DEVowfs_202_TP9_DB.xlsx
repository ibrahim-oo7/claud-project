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B87DECF-BCFF-794B-827B-01E92A7B9D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d_janvier" sheetId="1" r:id="rId1"/>
    <sheet name="Tri_Service" sheetId="2" r:id="rId2"/>
    <sheet name="Tri_2Cles" sheetId="3" r:id="rId3"/>
    <sheet name="Tri_Fonction" sheetId="4" r:id="rId4"/>
    <sheet name="Filtres" sheetId="5" r:id="rId5"/>
    <sheet name="ST_Primes_Service" sheetId="6" r:id="rId6"/>
    <sheet name="ST_Autres" sheetId="7" r:id="rId7"/>
  </sheets>
  <definedNames>
    <definedName name="_xlnm._FilterDatabase" localSheetId="4" hidden="1">Filtres!$A$12:$R$14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O6" i="1"/>
  <c r="Q6" i="1"/>
  <c r="R6" i="1"/>
  <c r="N7" i="1"/>
  <c r="N8" i="1"/>
  <c r="N9" i="1"/>
  <c r="O9" i="1"/>
  <c r="Q9" i="1"/>
  <c r="R9" i="1"/>
  <c r="N10" i="1"/>
  <c r="O10" i="1"/>
  <c r="Q10" i="1"/>
  <c r="R10" i="1"/>
  <c r="N11" i="1"/>
  <c r="N12" i="1"/>
  <c r="O12" i="1"/>
  <c r="Q12" i="1"/>
  <c r="R12" i="1"/>
  <c r="N13" i="1"/>
  <c r="N4" i="1"/>
  <c r="M5" i="1"/>
  <c r="P5" i="1"/>
  <c r="M6" i="1"/>
  <c r="P6" i="1"/>
  <c r="M7" i="1"/>
  <c r="P7" i="1"/>
  <c r="M8" i="1"/>
  <c r="P8" i="1"/>
  <c r="M9" i="1"/>
  <c r="P9" i="1"/>
  <c r="M10" i="1"/>
  <c r="P10" i="1"/>
  <c r="M11" i="1"/>
  <c r="P11" i="1"/>
  <c r="M12" i="1"/>
  <c r="P12" i="1"/>
  <c r="M13" i="1"/>
  <c r="P13" i="1"/>
  <c r="M4" i="1"/>
  <c r="D51" i="7"/>
  <c r="D43" i="7"/>
  <c r="D52" i="7"/>
  <c r="D35" i="7"/>
  <c r="D34" i="7"/>
  <c r="D30" i="7"/>
  <c r="D24" i="7"/>
  <c r="D8" i="7"/>
  <c r="D17" i="7"/>
  <c r="D16" i="7"/>
  <c r="O6" i="6"/>
  <c r="O12" i="6"/>
  <c r="O17" i="6"/>
  <c r="O16" i="6"/>
  <c r="O13" i="1"/>
  <c r="Q13" i="1"/>
  <c r="R13" i="1"/>
  <c r="L13" i="1"/>
  <c r="L12" i="1"/>
  <c r="O11" i="1"/>
  <c r="Q11" i="1"/>
  <c r="R11" i="1"/>
  <c r="L11" i="1"/>
  <c r="L10" i="1"/>
  <c r="L9" i="1"/>
  <c r="O8" i="1"/>
  <c r="Q8" i="1"/>
  <c r="R8" i="1"/>
  <c r="L8" i="1"/>
  <c r="O7" i="1"/>
  <c r="Q7" i="1"/>
  <c r="R7" i="1"/>
  <c r="L7" i="1"/>
  <c r="L6" i="1"/>
  <c r="O5" i="1"/>
  <c r="Q5" i="1"/>
  <c r="R5" i="1"/>
  <c r="L5" i="1"/>
  <c r="O4" i="1"/>
  <c r="Q4" i="1"/>
  <c r="R4" i="1"/>
  <c r="P4" i="1"/>
  <c r="L4" i="1"/>
  <c r="U1" i="1"/>
</calcChain>
</file>

<file path=xl/sharedStrings.xml><?xml version="1.0" encoding="utf-8"?>
<sst xmlns="http://schemas.openxmlformats.org/spreadsheetml/2006/main" count="681" uniqueCount="60">
  <si>
    <t>Date du jour</t>
  </si>
  <si>
    <t>Matricule</t>
  </si>
  <si>
    <t>Nom</t>
  </si>
  <si>
    <t>Prénom</t>
  </si>
  <si>
    <t>Nature</t>
  </si>
  <si>
    <t>Fonction</t>
  </si>
  <si>
    <t>Service</t>
  </si>
  <si>
    <t>Date de naissance</t>
  </si>
  <si>
    <t>Prix heure</t>
  </si>
  <si>
    <t>Nbre horaire</t>
  </si>
  <si>
    <t>Retenues</t>
  </si>
  <si>
    <t>Date recrutement</t>
  </si>
  <si>
    <t>Salaire de base</t>
  </si>
  <si>
    <t>Âge</t>
  </si>
  <si>
    <t>Ancienneté</t>
  </si>
  <si>
    <t>Prime</t>
  </si>
  <si>
    <t>Retraite</t>
  </si>
  <si>
    <t>Salaire brut</t>
  </si>
  <si>
    <t>Net à payer</t>
  </si>
  <si>
    <t>HARMONE</t>
  </si>
  <si>
    <t>khalid</t>
  </si>
  <si>
    <t>m</t>
  </si>
  <si>
    <t>technicien</t>
  </si>
  <si>
    <t>personnel</t>
  </si>
  <si>
    <t>EL hlou</t>
  </si>
  <si>
    <t>Ahmed</t>
  </si>
  <si>
    <t>directeur</t>
  </si>
  <si>
    <t>ALAOUI</t>
  </si>
  <si>
    <t>karim</t>
  </si>
  <si>
    <t>representant</t>
  </si>
  <si>
    <t>vente</t>
  </si>
  <si>
    <t>BENANI</t>
  </si>
  <si>
    <t>adil</t>
  </si>
  <si>
    <t>comptabilité</t>
  </si>
  <si>
    <t>MANSORE</t>
  </si>
  <si>
    <t>latifa</t>
  </si>
  <si>
    <t>f</t>
  </si>
  <si>
    <t>secretaire</t>
  </si>
  <si>
    <t>SABER</t>
  </si>
  <si>
    <t>hassan</t>
  </si>
  <si>
    <t>BACHIR</t>
  </si>
  <si>
    <t>samir</t>
  </si>
  <si>
    <t>gardien</t>
  </si>
  <si>
    <t>SAFI</t>
  </si>
  <si>
    <t>mounia</t>
  </si>
  <si>
    <t>ingénieur</t>
  </si>
  <si>
    <t>AMINE</t>
  </si>
  <si>
    <t>aicha</t>
  </si>
  <si>
    <t>gardienne</t>
  </si>
  <si>
    <t>TAHIRI</t>
  </si>
  <si>
    <t>rachid</t>
  </si>
  <si>
    <t>OUI</t>
  </si>
  <si>
    <t>NON</t>
  </si>
  <si>
    <t>Sous-total comptabilité</t>
  </si>
  <si>
    <t>Sous-total personnel</t>
  </si>
  <si>
    <t>Sous-total vente</t>
  </si>
  <si>
    <t>Total général</t>
  </si>
  <si>
    <t>Sous-total f</t>
  </si>
  <si>
    <t>Sous-total m</t>
  </si>
  <si>
    <t>Nb personnes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</si>
</sst>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D9D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A2" workbookViewId="0">
      <selection activeCell="R4" sqref="R4"/>
    </sheetView>
  </sheetViews>
  <sheetFormatPr defaultColWidth="8.7421875" defaultRowHeight="15" x14ac:dyDescent="0.2"/>
  <cols>
    <col min="1" max="1" width="11.02734375" customWidth="1"/>
    <col min="2" max="2" width="13.98828125" customWidth="1"/>
    <col min="3" max="3" width="11.97265625" customWidth="1"/>
    <col min="4" max="4" width="9.953125" customWidth="1"/>
    <col min="5" max="6" width="14.9296875" customWidth="1"/>
    <col min="7" max="7" width="16.0078125" customWidth="1"/>
    <col min="8" max="8" width="11.02734375" customWidth="1"/>
    <col min="9" max="9" width="11.97265625" customWidth="1"/>
    <col min="10" max="10" width="11.02734375" customWidth="1"/>
    <col min="11" max="11" width="16.0078125" customWidth="1"/>
    <col min="12" max="12" width="13.046875" customWidth="1"/>
    <col min="13" max="13" width="7.93359375" customWidth="1"/>
    <col min="14" max="15" width="11.02734375" customWidth="1"/>
    <col min="16" max="16" width="9.953125" customWidth="1"/>
    <col min="17" max="18" width="11.97265625" customWidth="1"/>
    <col min="19" max="19" width="4.03515625" customWidth="1"/>
    <col min="20" max="20" width="16.0078125" customWidth="1"/>
    <col min="21" max="21" width="13.98828125" customWidth="1"/>
  </cols>
  <sheetData>
    <row r="1" spans="1:21" ht="19.899999999999999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 t="s">
        <v>0</v>
      </c>
      <c r="U1" s="3">
        <f ca="1">TODAY()</f>
        <v>46107</v>
      </c>
    </row>
    <row r="2" spans="1:21" ht="19.899999999999999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9.899999999999999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21" ht="19.899999999999999" customHeight="1" x14ac:dyDescent="0.2">
      <c r="A4" s="4">
        <v>1000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5">
        <v>24364</v>
      </c>
      <c r="H4" s="6">
        <v>60</v>
      </c>
      <c r="I4" s="6">
        <v>100</v>
      </c>
      <c r="J4" s="6">
        <v>491</v>
      </c>
      <c r="K4" s="5">
        <v>32726</v>
      </c>
      <c r="L4" s="6">
        <f t="shared" ref="L4:L13" si="0">H4*I4</f>
        <v>6000</v>
      </c>
      <c r="M4" s="6">
        <f ca="1">DATEDIF(G4,TODAY(),"y")</f>
        <v>59</v>
      </c>
      <c r="N4" s="6">
        <f ca="1">DATEDIF(K4,TODAY(),"y")</f>
        <v>36</v>
      </c>
      <c r="O4" s="6">
        <f t="shared" ref="O4:O13" ca="1" si="1">IF(N4&gt;=20,L4*30%,IF(N4&gt;=10,L4*25%,L4*10%))</f>
        <v>1800</v>
      </c>
      <c r="P4" s="4" t="str">
        <f t="shared" ref="P4:P13" ca="1" si="2">IF(M4&gt;=60,"OUI","NON")</f>
        <v>NON</v>
      </c>
      <c r="Q4" s="6">
        <f t="shared" ref="Q4:Q13" ca="1" si="3">L4+O4</f>
        <v>7800</v>
      </c>
      <c r="R4" s="6">
        <f t="shared" ref="R4:R13" ca="1" si="4">Q4-J4</f>
        <v>7309</v>
      </c>
      <c r="S4" s="4"/>
      <c r="T4" s="4"/>
      <c r="U4" s="4"/>
    </row>
    <row r="5" spans="1:21" ht="19.899999999999999" customHeight="1" x14ac:dyDescent="0.2">
      <c r="A5" s="4">
        <v>1256</v>
      </c>
      <c r="B5" s="4" t="s">
        <v>24</v>
      </c>
      <c r="C5" s="4" t="s">
        <v>25</v>
      </c>
      <c r="D5" s="4" t="s">
        <v>21</v>
      </c>
      <c r="E5" s="4" t="s">
        <v>26</v>
      </c>
      <c r="F5" s="4" t="s">
        <v>23</v>
      </c>
      <c r="G5" s="5">
        <v>23719</v>
      </c>
      <c r="H5" s="6">
        <v>100</v>
      </c>
      <c r="I5" s="6">
        <v>120</v>
      </c>
      <c r="J5" s="6">
        <v>866</v>
      </c>
      <c r="K5" s="5">
        <v>36203</v>
      </c>
      <c r="L5" s="6">
        <f t="shared" si="0"/>
        <v>12000</v>
      </c>
      <c r="M5" s="6">
        <f t="shared" ref="M5:M13" ca="1" si="5">DATEDIF(G5,TODAY(),"y")</f>
        <v>61</v>
      </c>
      <c r="N5" s="6">
        <f t="shared" ref="N5:N13" ca="1" si="6">DATEDIF(K5,TODAY(),"y")</f>
        <v>27</v>
      </c>
      <c r="O5" s="6">
        <f t="shared" ca="1" si="1"/>
        <v>3600</v>
      </c>
      <c r="P5" s="4" t="str">
        <f t="shared" ca="1" si="2"/>
        <v>OUI</v>
      </c>
      <c r="Q5" s="6">
        <f t="shared" ca="1" si="3"/>
        <v>15600</v>
      </c>
      <c r="R5" s="6">
        <f t="shared" ca="1" si="4"/>
        <v>14734</v>
      </c>
      <c r="S5" s="4"/>
      <c r="T5" s="4"/>
      <c r="U5" s="4"/>
    </row>
    <row r="6" spans="1:21" ht="19.899999999999999" customHeight="1" x14ac:dyDescent="0.2">
      <c r="A6" s="4">
        <v>1258</v>
      </c>
      <c r="B6" s="4" t="s">
        <v>27</v>
      </c>
      <c r="C6" s="4" t="s">
        <v>28</v>
      </c>
      <c r="D6" s="4" t="s">
        <v>21</v>
      </c>
      <c r="E6" s="4" t="s">
        <v>29</v>
      </c>
      <c r="F6" s="4" t="s">
        <v>30</v>
      </c>
      <c r="G6" s="5">
        <v>19970</v>
      </c>
      <c r="H6" s="6">
        <v>80</v>
      </c>
      <c r="I6" s="6">
        <v>95</v>
      </c>
      <c r="J6" s="6">
        <v>560</v>
      </c>
      <c r="K6" s="5">
        <v>37963</v>
      </c>
      <c r="L6" s="6">
        <f t="shared" si="0"/>
        <v>7600</v>
      </c>
      <c r="M6" s="6">
        <f t="shared" ca="1" si="5"/>
        <v>71</v>
      </c>
      <c r="N6" s="6">
        <f t="shared" ca="1" si="6"/>
        <v>22</v>
      </c>
      <c r="O6" s="6">
        <f t="shared" ca="1" si="1"/>
        <v>2280</v>
      </c>
      <c r="P6" s="4" t="str">
        <f t="shared" ca="1" si="2"/>
        <v>OUI</v>
      </c>
      <c r="Q6" s="6">
        <f t="shared" ca="1" si="3"/>
        <v>9880</v>
      </c>
      <c r="R6" s="6">
        <f t="shared" ca="1" si="4"/>
        <v>9320</v>
      </c>
      <c r="S6" s="4"/>
      <c r="T6" s="4"/>
      <c r="U6" s="4"/>
    </row>
    <row r="7" spans="1:21" ht="19.899999999999999" customHeight="1" x14ac:dyDescent="0.2">
      <c r="A7" s="4">
        <v>2369</v>
      </c>
      <c r="B7" s="4" t="s">
        <v>31</v>
      </c>
      <c r="C7" s="4" t="s">
        <v>32</v>
      </c>
      <c r="D7" s="4" t="s">
        <v>21</v>
      </c>
      <c r="E7" s="4" t="s">
        <v>22</v>
      </c>
      <c r="F7" s="4" t="s">
        <v>33</v>
      </c>
      <c r="G7" s="5">
        <v>26639</v>
      </c>
      <c r="H7" s="6">
        <v>60</v>
      </c>
      <c r="I7" s="6">
        <v>100</v>
      </c>
      <c r="J7" s="6">
        <v>400</v>
      </c>
      <c r="K7" s="5">
        <v>32296</v>
      </c>
      <c r="L7" s="6">
        <f t="shared" si="0"/>
        <v>6000</v>
      </c>
      <c r="M7" s="6">
        <f t="shared" ca="1" si="5"/>
        <v>53</v>
      </c>
      <c r="N7" s="6">
        <f t="shared" ca="1" si="6"/>
        <v>37</v>
      </c>
      <c r="O7" s="6">
        <f t="shared" ca="1" si="1"/>
        <v>1800</v>
      </c>
      <c r="P7" s="4" t="str">
        <f t="shared" ca="1" si="2"/>
        <v>NON</v>
      </c>
      <c r="Q7" s="6">
        <f t="shared" ca="1" si="3"/>
        <v>7800</v>
      </c>
      <c r="R7" s="6">
        <f t="shared" ca="1" si="4"/>
        <v>7400</v>
      </c>
      <c r="S7" s="4"/>
      <c r="T7" s="4"/>
      <c r="U7" s="4"/>
    </row>
    <row r="8" spans="1:21" ht="19.899999999999999" customHeight="1" x14ac:dyDescent="0.2">
      <c r="A8" s="4">
        <v>5693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23</v>
      </c>
      <c r="G8" s="5">
        <v>25263</v>
      </c>
      <c r="H8" s="6">
        <v>55</v>
      </c>
      <c r="I8" s="6">
        <v>110</v>
      </c>
      <c r="J8" s="6">
        <v>452.9</v>
      </c>
      <c r="K8" s="5">
        <v>32875</v>
      </c>
      <c r="L8" s="6">
        <f t="shared" si="0"/>
        <v>6050</v>
      </c>
      <c r="M8" s="6">
        <f t="shared" ca="1" si="5"/>
        <v>57</v>
      </c>
      <c r="N8" s="6">
        <f t="shared" ca="1" si="6"/>
        <v>36</v>
      </c>
      <c r="O8" s="6">
        <f t="shared" ca="1" si="1"/>
        <v>1815</v>
      </c>
      <c r="P8" s="4" t="str">
        <f t="shared" ca="1" si="2"/>
        <v>NON</v>
      </c>
      <c r="Q8" s="6">
        <f t="shared" ca="1" si="3"/>
        <v>7865</v>
      </c>
      <c r="R8" s="6">
        <f t="shared" ca="1" si="4"/>
        <v>7412.1</v>
      </c>
      <c r="S8" s="4"/>
      <c r="T8" s="4"/>
      <c r="U8" s="4"/>
    </row>
    <row r="9" spans="1:21" ht="19.899999999999999" customHeight="1" x14ac:dyDescent="0.2">
      <c r="A9" s="4">
        <v>6542</v>
      </c>
      <c r="B9" s="4" t="s">
        <v>38</v>
      </c>
      <c r="C9" s="4" t="s">
        <v>39</v>
      </c>
      <c r="D9" s="4" t="s">
        <v>21</v>
      </c>
      <c r="E9" s="4" t="s">
        <v>37</v>
      </c>
      <c r="F9" s="4" t="s">
        <v>23</v>
      </c>
      <c r="G9" s="5">
        <v>23925</v>
      </c>
      <c r="H9" s="6">
        <v>55</v>
      </c>
      <c r="I9" s="6">
        <v>110</v>
      </c>
      <c r="J9" s="6">
        <v>543.70000000000005</v>
      </c>
      <c r="K9" s="5">
        <v>28483</v>
      </c>
      <c r="L9" s="6">
        <f t="shared" si="0"/>
        <v>6050</v>
      </c>
      <c r="M9" s="6">
        <f t="shared" ca="1" si="5"/>
        <v>60</v>
      </c>
      <c r="N9" s="6">
        <f t="shared" ca="1" si="6"/>
        <v>48</v>
      </c>
      <c r="O9" s="6">
        <f t="shared" ca="1" si="1"/>
        <v>1815</v>
      </c>
      <c r="P9" s="4" t="str">
        <f t="shared" ca="1" si="2"/>
        <v>OUI</v>
      </c>
      <c r="Q9" s="6">
        <f t="shared" ca="1" si="3"/>
        <v>7865</v>
      </c>
      <c r="R9" s="6">
        <f t="shared" ca="1" si="4"/>
        <v>7321.3</v>
      </c>
      <c r="S9" s="4"/>
      <c r="T9" s="4"/>
      <c r="U9" s="4"/>
    </row>
    <row r="10" spans="1:21" ht="19.899999999999999" customHeight="1" x14ac:dyDescent="0.2">
      <c r="A10" s="4">
        <v>7412</v>
      </c>
      <c r="B10" s="4" t="s">
        <v>40</v>
      </c>
      <c r="C10" s="4" t="s">
        <v>41</v>
      </c>
      <c r="D10" s="4" t="s">
        <v>21</v>
      </c>
      <c r="E10" s="4" t="s">
        <v>42</v>
      </c>
      <c r="F10" s="4" t="s">
        <v>33</v>
      </c>
      <c r="G10" s="5">
        <v>21764</v>
      </c>
      <c r="H10" s="6">
        <v>45</v>
      </c>
      <c r="I10" s="6">
        <v>120</v>
      </c>
      <c r="J10" s="6">
        <v>500</v>
      </c>
      <c r="K10" s="5">
        <v>38317</v>
      </c>
      <c r="L10" s="6">
        <f t="shared" si="0"/>
        <v>5400</v>
      </c>
      <c r="M10" s="6">
        <f t="shared" ca="1" si="5"/>
        <v>66</v>
      </c>
      <c r="N10" s="6">
        <f t="shared" ca="1" si="6"/>
        <v>21</v>
      </c>
      <c r="O10" s="6">
        <f t="shared" ca="1" si="1"/>
        <v>1620</v>
      </c>
      <c r="P10" s="4" t="str">
        <f t="shared" ca="1" si="2"/>
        <v>OUI</v>
      </c>
      <c r="Q10" s="6">
        <f t="shared" ca="1" si="3"/>
        <v>7020</v>
      </c>
      <c r="R10" s="6">
        <f t="shared" ca="1" si="4"/>
        <v>6520</v>
      </c>
      <c r="S10" s="4"/>
      <c r="T10" s="4"/>
      <c r="U10" s="4"/>
    </row>
    <row r="11" spans="1:21" ht="19.899999999999999" customHeight="1" x14ac:dyDescent="0.2">
      <c r="A11" s="4">
        <v>7896</v>
      </c>
      <c r="B11" s="4" t="s">
        <v>43</v>
      </c>
      <c r="C11" s="4" t="s">
        <v>44</v>
      </c>
      <c r="D11" s="4" t="s">
        <v>36</v>
      </c>
      <c r="E11" s="4" t="s">
        <v>45</v>
      </c>
      <c r="F11" s="4" t="s">
        <v>23</v>
      </c>
      <c r="G11" s="5">
        <v>25356</v>
      </c>
      <c r="H11" s="6">
        <v>90</v>
      </c>
      <c r="I11" s="6">
        <v>80</v>
      </c>
      <c r="J11" s="6">
        <v>550.79999999999995</v>
      </c>
      <c r="K11" s="5">
        <v>36740</v>
      </c>
      <c r="L11" s="6">
        <f t="shared" si="0"/>
        <v>7200</v>
      </c>
      <c r="M11" s="6">
        <f t="shared" ca="1" si="5"/>
        <v>56</v>
      </c>
      <c r="N11" s="6">
        <f t="shared" ca="1" si="6"/>
        <v>25</v>
      </c>
      <c r="O11" s="6">
        <f t="shared" ca="1" si="1"/>
        <v>2160</v>
      </c>
      <c r="P11" s="4" t="str">
        <f t="shared" ca="1" si="2"/>
        <v>NON</v>
      </c>
      <c r="Q11" s="6">
        <f t="shared" ca="1" si="3"/>
        <v>9360</v>
      </c>
      <c r="R11" s="6">
        <f t="shared" ca="1" si="4"/>
        <v>8809.2000000000007</v>
      </c>
      <c r="S11" s="4"/>
      <c r="T11" s="4"/>
      <c r="U11" s="4"/>
    </row>
    <row r="12" spans="1:21" ht="19.899999999999999" customHeight="1" x14ac:dyDescent="0.2">
      <c r="A12" s="4">
        <v>8523</v>
      </c>
      <c r="B12" s="4" t="s">
        <v>46</v>
      </c>
      <c r="C12" s="4" t="s">
        <v>47</v>
      </c>
      <c r="D12" s="4" t="s">
        <v>36</v>
      </c>
      <c r="E12" s="4" t="s">
        <v>48</v>
      </c>
      <c r="F12" s="4" t="s">
        <v>30</v>
      </c>
      <c r="G12" s="5">
        <v>21976</v>
      </c>
      <c r="H12" s="6">
        <v>45</v>
      </c>
      <c r="I12" s="6">
        <v>120</v>
      </c>
      <c r="J12" s="6">
        <v>450</v>
      </c>
      <c r="K12" s="5">
        <v>38434</v>
      </c>
      <c r="L12" s="6">
        <f t="shared" si="0"/>
        <v>5400</v>
      </c>
      <c r="M12" s="6">
        <f t="shared" ca="1" si="5"/>
        <v>66</v>
      </c>
      <c r="N12" s="6">
        <f t="shared" ca="1" si="6"/>
        <v>21</v>
      </c>
      <c r="O12" s="6">
        <f t="shared" ca="1" si="1"/>
        <v>1620</v>
      </c>
      <c r="P12" s="4" t="str">
        <f t="shared" ca="1" si="2"/>
        <v>OUI</v>
      </c>
      <c r="Q12" s="6">
        <f t="shared" ca="1" si="3"/>
        <v>7020</v>
      </c>
      <c r="R12" s="6">
        <f t="shared" ca="1" si="4"/>
        <v>6570</v>
      </c>
      <c r="S12" s="4"/>
      <c r="T12" s="4"/>
      <c r="U12" s="4"/>
    </row>
    <row r="13" spans="1:21" ht="19.899999999999999" customHeight="1" x14ac:dyDescent="0.2">
      <c r="A13" s="4">
        <v>9439</v>
      </c>
      <c r="B13" s="4" t="s">
        <v>49</v>
      </c>
      <c r="C13" s="4" t="s">
        <v>50</v>
      </c>
      <c r="D13" s="4" t="s">
        <v>21</v>
      </c>
      <c r="E13" s="4" t="s">
        <v>29</v>
      </c>
      <c r="F13" s="4" t="s">
        <v>30</v>
      </c>
      <c r="G13" s="5">
        <v>25687</v>
      </c>
      <c r="H13" s="6">
        <v>80</v>
      </c>
      <c r="I13" s="6">
        <v>90</v>
      </c>
      <c r="J13" s="6">
        <v>550.70000000000005</v>
      </c>
      <c r="K13" s="5">
        <v>25934</v>
      </c>
      <c r="L13" s="6">
        <f t="shared" si="0"/>
        <v>7200</v>
      </c>
      <c r="M13" s="6">
        <f t="shared" ca="1" si="5"/>
        <v>55</v>
      </c>
      <c r="N13" s="6">
        <f t="shared" ca="1" si="6"/>
        <v>55</v>
      </c>
      <c r="O13" s="6">
        <f t="shared" ca="1" si="1"/>
        <v>2160</v>
      </c>
      <c r="P13" s="4" t="str">
        <f t="shared" ca="1" si="2"/>
        <v>NON</v>
      </c>
      <c r="Q13" s="6">
        <f t="shared" ca="1" si="3"/>
        <v>9360</v>
      </c>
      <c r="R13" s="6">
        <f t="shared" ca="1" si="4"/>
        <v>8809.2999999999993</v>
      </c>
      <c r="S13" s="4"/>
      <c r="T13" s="4"/>
      <c r="U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workbookViewId="0">
      <selection activeCell="I4" sqref="I4"/>
    </sheetView>
  </sheetViews>
  <sheetFormatPr defaultColWidth="8.7421875" defaultRowHeight="15" x14ac:dyDescent="0.2"/>
  <cols>
    <col min="1" max="1" width="11.02734375" customWidth="1"/>
    <col min="2" max="2" width="13.98828125" customWidth="1"/>
    <col min="3" max="3" width="11.97265625" customWidth="1"/>
    <col min="4" max="4" width="9.953125" customWidth="1"/>
    <col min="5" max="6" width="14.9296875" customWidth="1"/>
    <col min="7" max="7" width="16.0078125" customWidth="1"/>
    <col min="8" max="8" width="11.02734375" customWidth="1"/>
    <col min="9" max="9" width="11.97265625" customWidth="1"/>
    <col min="10" max="10" width="11.02734375" customWidth="1"/>
    <col min="11" max="11" width="16.0078125" customWidth="1"/>
    <col min="12" max="12" width="13.046875" customWidth="1"/>
    <col min="13" max="13" width="7.93359375" customWidth="1"/>
    <col min="14" max="15" width="11.02734375" customWidth="1"/>
    <col min="16" max="16" width="9.953125" customWidth="1"/>
    <col min="17" max="18" width="11.97265625" customWidth="1"/>
  </cols>
  <sheetData>
    <row r="1" spans="1:18" ht="19.899999999999999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899999999999999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9.899999999999999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19.899999999999999" customHeight="1" x14ac:dyDescent="0.2">
      <c r="A4" s="4">
        <v>1258</v>
      </c>
      <c r="B4" s="4" t="s">
        <v>27</v>
      </c>
      <c r="C4" s="4" t="s">
        <v>28</v>
      </c>
      <c r="D4" s="4" t="s">
        <v>21</v>
      </c>
      <c r="E4" s="4" t="s">
        <v>29</v>
      </c>
      <c r="F4" s="4" t="s">
        <v>30</v>
      </c>
      <c r="G4" s="5">
        <v>19970</v>
      </c>
      <c r="H4" s="6">
        <v>80</v>
      </c>
      <c r="I4" s="6">
        <v>95</v>
      </c>
      <c r="J4" s="6">
        <v>560</v>
      </c>
      <c r="K4" s="5">
        <v>37963</v>
      </c>
      <c r="L4" s="6">
        <v>7600</v>
      </c>
      <c r="M4" s="6">
        <v>71</v>
      </c>
      <c r="N4" s="6">
        <v>22</v>
      </c>
      <c r="O4" s="6">
        <v>2280</v>
      </c>
      <c r="P4" s="4" t="s">
        <v>51</v>
      </c>
      <c r="Q4" s="6">
        <v>9880</v>
      </c>
      <c r="R4" s="6">
        <v>9320</v>
      </c>
    </row>
    <row r="5" spans="1:18" ht="19.899999999999999" customHeight="1" x14ac:dyDescent="0.2">
      <c r="A5" s="4">
        <v>8523</v>
      </c>
      <c r="B5" s="4" t="s">
        <v>46</v>
      </c>
      <c r="C5" s="4" t="s">
        <v>47</v>
      </c>
      <c r="D5" s="4" t="s">
        <v>36</v>
      </c>
      <c r="E5" s="4" t="s">
        <v>48</v>
      </c>
      <c r="F5" s="4" t="s">
        <v>30</v>
      </c>
      <c r="G5" s="5">
        <v>21976</v>
      </c>
      <c r="H5" s="6">
        <v>45</v>
      </c>
      <c r="I5" s="6">
        <v>120</v>
      </c>
      <c r="J5" s="6">
        <v>450</v>
      </c>
      <c r="K5" s="5">
        <v>38434</v>
      </c>
      <c r="L5" s="6">
        <v>5400</v>
      </c>
      <c r="M5" s="6">
        <v>66</v>
      </c>
      <c r="N5" s="6">
        <v>21</v>
      </c>
      <c r="O5" s="6">
        <v>1620</v>
      </c>
      <c r="P5" s="4" t="s">
        <v>51</v>
      </c>
      <c r="Q5" s="6">
        <v>7020</v>
      </c>
      <c r="R5" s="6">
        <v>6570</v>
      </c>
    </row>
    <row r="6" spans="1:18" ht="19.899999999999999" customHeight="1" x14ac:dyDescent="0.2">
      <c r="A6" s="4">
        <v>9439</v>
      </c>
      <c r="B6" s="4" t="s">
        <v>49</v>
      </c>
      <c r="C6" s="4" t="s">
        <v>50</v>
      </c>
      <c r="D6" s="4" t="s">
        <v>21</v>
      </c>
      <c r="E6" s="4" t="s">
        <v>29</v>
      </c>
      <c r="F6" s="4" t="s">
        <v>30</v>
      </c>
      <c r="G6" s="5">
        <v>25687</v>
      </c>
      <c r="H6" s="6">
        <v>80</v>
      </c>
      <c r="I6" s="6">
        <v>90</v>
      </c>
      <c r="J6" s="6">
        <v>550.70000000000005</v>
      </c>
      <c r="K6" s="5">
        <v>25934</v>
      </c>
      <c r="L6" s="6">
        <v>7200</v>
      </c>
      <c r="M6" s="6">
        <v>55</v>
      </c>
      <c r="N6" s="6">
        <v>55</v>
      </c>
      <c r="O6" s="6">
        <v>2160</v>
      </c>
      <c r="P6" s="4" t="s">
        <v>52</v>
      </c>
      <c r="Q6" s="6">
        <v>9360</v>
      </c>
      <c r="R6" s="6">
        <v>8809.2999999999993</v>
      </c>
    </row>
    <row r="7" spans="1:18" ht="19.899999999999999" customHeight="1" x14ac:dyDescent="0.2">
      <c r="A7" s="4">
        <v>1000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5">
        <v>24364</v>
      </c>
      <c r="H7" s="6">
        <v>60</v>
      </c>
      <c r="I7" s="6">
        <v>100</v>
      </c>
      <c r="J7" s="6">
        <v>491</v>
      </c>
      <c r="K7" s="5">
        <v>32726</v>
      </c>
      <c r="L7" s="6">
        <v>6000</v>
      </c>
      <c r="M7" s="6">
        <v>59</v>
      </c>
      <c r="N7" s="6">
        <v>36</v>
      </c>
      <c r="O7" s="6">
        <v>1800</v>
      </c>
      <c r="P7" s="4" t="s">
        <v>52</v>
      </c>
      <c r="Q7" s="6">
        <v>7800</v>
      </c>
      <c r="R7" s="6">
        <v>7309</v>
      </c>
    </row>
    <row r="8" spans="1:18" ht="19.899999999999999" customHeight="1" x14ac:dyDescent="0.2">
      <c r="A8" s="4">
        <v>1256</v>
      </c>
      <c r="B8" s="4" t="s">
        <v>24</v>
      </c>
      <c r="C8" s="4" t="s">
        <v>25</v>
      </c>
      <c r="D8" s="4" t="s">
        <v>21</v>
      </c>
      <c r="E8" s="4" t="s">
        <v>26</v>
      </c>
      <c r="F8" s="4" t="s">
        <v>23</v>
      </c>
      <c r="G8" s="5">
        <v>23719</v>
      </c>
      <c r="H8" s="6">
        <v>100</v>
      </c>
      <c r="I8" s="6">
        <v>120</v>
      </c>
      <c r="J8" s="6">
        <v>866</v>
      </c>
      <c r="K8" s="5">
        <v>36203</v>
      </c>
      <c r="L8" s="6">
        <v>12000</v>
      </c>
      <c r="M8" s="6">
        <v>61</v>
      </c>
      <c r="N8" s="6">
        <v>27</v>
      </c>
      <c r="O8" s="6">
        <v>3600</v>
      </c>
      <c r="P8" s="4" t="s">
        <v>51</v>
      </c>
      <c r="Q8" s="6">
        <v>15600</v>
      </c>
      <c r="R8" s="6">
        <v>14734</v>
      </c>
    </row>
    <row r="9" spans="1:18" ht="19.899999999999999" customHeight="1" x14ac:dyDescent="0.2">
      <c r="A9" s="4">
        <v>5693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23</v>
      </c>
      <c r="G9" s="5">
        <v>25263</v>
      </c>
      <c r="H9" s="6">
        <v>55</v>
      </c>
      <c r="I9" s="6">
        <v>110</v>
      </c>
      <c r="J9" s="6">
        <v>452.9</v>
      </c>
      <c r="K9" s="5">
        <v>32875</v>
      </c>
      <c r="L9" s="6">
        <v>6050</v>
      </c>
      <c r="M9" s="6">
        <v>57</v>
      </c>
      <c r="N9" s="6">
        <v>36</v>
      </c>
      <c r="O9" s="6">
        <v>1815</v>
      </c>
      <c r="P9" s="4" t="s">
        <v>52</v>
      </c>
      <c r="Q9" s="6">
        <v>7865</v>
      </c>
      <c r="R9" s="6">
        <v>7412.1</v>
      </c>
    </row>
    <row r="10" spans="1:18" ht="19.899999999999999" customHeight="1" x14ac:dyDescent="0.2">
      <c r="A10" s="4">
        <v>6542</v>
      </c>
      <c r="B10" s="4" t="s">
        <v>38</v>
      </c>
      <c r="C10" s="4" t="s">
        <v>39</v>
      </c>
      <c r="D10" s="4" t="s">
        <v>21</v>
      </c>
      <c r="E10" s="4" t="s">
        <v>37</v>
      </c>
      <c r="F10" s="4" t="s">
        <v>23</v>
      </c>
      <c r="G10" s="5">
        <v>23925</v>
      </c>
      <c r="H10" s="6">
        <v>55</v>
      </c>
      <c r="I10" s="6">
        <v>110</v>
      </c>
      <c r="J10" s="6">
        <v>543.70000000000005</v>
      </c>
      <c r="K10" s="5">
        <v>28483</v>
      </c>
      <c r="L10" s="6">
        <v>6050</v>
      </c>
      <c r="M10" s="6">
        <v>60</v>
      </c>
      <c r="N10" s="6">
        <v>48</v>
      </c>
      <c r="O10" s="6">
        <v>1815</v>
      </c>
      <c r="P10" s="4" t="s">
        <v>51</v>
      </c>
      <c r="Q10" s="6">
        <v>7865</v>
      </c>
      <c r="R10" s="6">
        <v>7321.3</v>
      </c>
    </row>
    <row r="11" spans="1:18" ht="19.899999999999999" customHeight="1" x14ac:dyDescent="0.2">
      <c r="A11" s="4">
        <v>7896</v>
      </c>
      <c r="B11" s="4" t="s">
        <v>43</v>
      </c>
      <c r="C11" s="4" t="s">
        <v>44</v>
      </c>
      <c r="D11" s="4" t="s">
        <v>36</v>
      </c>
      <c r="E11" s="4" t="s">
        <v>45</v>
      </c>
      <c r="F11" s="4" t="s">
        <v>23</v>
      </c>
      <c r="G11" s="5">
        <v>25356</v>
      </c>
      <c r="H11" s="6">
        <v>90</v>
      </c>
      <c r="I11" s="6">
        <v>80</v>
      </c>
      <c r="J11" s="6">
        <v>550.79999999999995</v>
      </c>
      <c r="K11" s="5">
        <v>36740</v>
      </c>
      <c r="L11" s="6">
        <v>7200</v>
      </c>
      <c r="M11" s="6">
        <v>56</v>
      </c>
      <c r="N11" s="6">
        <v>25</v>
      </c>
      <c r="O11" s="6">
        <v>2160</v>
      </c>
      <c r="P11" s="4" t="s">
        <v>52</v>
      </c>
      <c r="Q11" s="6">
        <v>9360</v>
      </c>
      <c r="R11" s="6">
        <v>8809.2000000000007</v>
      </c>
    </row>
    <row r="12" spans="1:18" ht="19.899999999999999" customHeight="1" x14ac:dyDescent="0.2">
      <c r="A12" s="4">
        <v>2369</v>
      </c>
      <c r="B12" s="4" t="s">
        <v>31</v>
      </c>
      <c r="C12" s="4" t="s">
        <v>32</v>
      </c>
      <c r="D12" s="4" t="s">
        <v>21</v>
      </c>
      <c r="E12" s="4" t="s">
        <v>22</v>
      </c>
      <c r="F12" s="4" t="s">
        <v>33</v>
      </c>
      <c r="G12" s="5">
        <v>26639</v>
      </c>
      <c r="H12" s="6">
        <v>60</v>
      </c>
      <c r="I12" s="6">
        <v>100</v>
      </c>
      <c r="J12" s="6">
        <v>400</v>
      </c>
      <c r="K12" s="5">
        <v>32296</v>
      </c>
      <c r="L12" s="6">
        <v>6000</v>
      </c>
      <c r="M12" s="6">
        <v>53</v>
      </c>
      <c r="N12" s="6">
        <v>37</v>
      </c>
      <c r="O12" s="6">
        <v>1800</v>
      </c>
      <c r="P12" s="4" t="s">
        <v>52</v>
      </c>
      <c r="Q12" s="6">
        <v>7800</v>
      </c>
      <c r="R12" s="6">
        <v>7400</v>
      </c>
    </row>
    <row r="13" spans="1:18" ht="19.899999999999999" customHeight="1" x14ac:dyDescent="0.2">
      <c r="A13" s="4">
        <v>7412</v>
      </c>
      <c r="B13" s="4" t="s">
        <v>40</v>
      </c>
      <c r="C13" s="4" t="s">
        <v>41</v>
      </c>
      <c r="D13" s="4" t="s">
        <v>21</v>
      </c>
      <c r="E13" s="4" t="s">
        <v>42</v>
      </c>
      <c r="F13" s="4" t="s">
        <v>33</v>
      </c>
      <c r="G13" s="5">
        <v>21764</v>
      </c>
      <c r="H13" s="6">
        <v>45</v>
      </c>
      <c r="I13" s="6">
        <v>120</v>
      </c>
      <c r="J13" s="6">
        <v>500</v>
      </c>
      <c r="K13" s="5">
        <v>38317</v>
      </c>
      <c r="L13" s="6">
        <v>5400</v>
      </c>
      <c r="M13" s="6">
        <v>66</v>
      </c>
      <c r="N13" s="6">
        <v>21</v>
      </c>
      <c r="O13" s="6">
        <v>1620</v>
      </c>
      <c r="P13" s="4" t="s">
        <v>51</v>
      </c>
      <c r="Q13" s="6">
        <v>7020</v>
      </c>
      <c r="R13" s="6">
        <v>6520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"/>
  <sheetViews>
    <sheetView workbookViewId="0"/>
  </sheetViews>
  <sheetFormatPr defaultColWidth="8.7421875" defaultRowHeight="15" x14ac:dyDescent="0.2"/>
  <cols>
    <col min="1" max="1" width="11.02734375" customWidth="1"/>
    <col min="2" max="2" width="13.98828125" customWidth="1"/>
    <col min="3" max="3" width="11.97265625" customWidth="1"/>
    <col min="4" max="4" width="9.953125" customWidth="1"/>
    <col min="5" max="6" width="14.9296875" customWidth="1"/>
    <col min="7" max="7" width="16.0078125" customWidth="1"/>
    <col min="8" max="8" width="11.02734375" customWidth="1"/>
    <col min="9" max="9" width="11.97265625" customWidth="1"/>
    <col min="10" max="10" width="11.02734375" customWidth="1"/>
    <col min="11" max="11" width="16.0078125" customWidth="1"/>
    <col min="12" max="12" width="13.046875" customWidth="1"/>
    <col min="13" max="13" width="7.93359375" customWidth="1"/>
    <col min="14" max="15" width="11.02734375" customWidth="1"/>
    <col min="16" max="16" width="9.953125" customWidth="1"/>
    <col min="17" max="18" width="11.97265625" customWidth="1"/>
  </cols>
  <sheetData>
    <row r="1" spans="1:18" ht="19.899999999999999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899999999999999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9.899999999999999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19.899999999999999" customHeight="1" x14ac:dyDescent="0.2">
      <c r="A4" s="4">
        <v>2369</v>
      </c>
      <c r="B4" s="4" t="s">
        <v>31</v>
      </c>
      <c r="C4" s="4" t="s">
        <v>32</v>
      </c>
      <c r="D4" s="4" t="s">
        <v>21</v>
      </c>
      <c r="E4" s="4" t="s">
        <v>22</v>
      </c>
      <c r="F4" s="4" t="s">
        <v>33</v>
      </c>
      <c r="G4" s="5">
        <v>26639</v>
      </c>
      <c r="H4" s="6">
        <v>60</v>
      </c>
      <c r="I4" s="6">
        <v>100</v>
      </c>
      <c r="J4" s="6">
        <v>400</v>
      </c>
      <c r="K4" s="5">
        <v>32296</v>
      </c>
      <c r="L4" s="6">
        <v>6000</v>
      </c>
      <c r="M4" s="6">
        <v>53</v>
      </c>
      <c r="N4" s="6">
        <v>37</v>
      </c>
      <c r="O4" s="6">
        <v>1800</v>
      </c>
      <c r="P4" s="4" t="s">
        <v>52</v>
      </c>
      <c r="Q4" s="6">
        <v>7800</v>
      </c>
      <c r="R4" s="6">
        <v>7400</v>
      </c>
    </row>
    <row r="5" spans="1:18" ht="19.899999999999999" customHeight="1" x14ac:dyDescent="0.2">
      <c r="A5" s="4">
        <v>7412</v>
      </c>
      <c r="B5" s="4" t="s">
        <v>40</v>
      </c>
      <c r="C5" s="4" t="s">
        <v>41</v>
      </c>
      <c r="D5" s="4" t="s">
        <v>21</v>
      </c>
      <c r="E5" s="4" t="s">
        <v>42</v>
      </c>
      <c r="F5" s="4" t="s">
        <v>33</v>
      </c>
      <c r="G5" s="5">
        <v>21764</v>
      </c>
      <c r="H5" s="6">
        <v>45</v>
      </c>
      <c r="I5" s="6">
        <v>120</v>
      </c>
      <c r="J5" s="6">
        <v>500</v>
      </c>
      <c r="K5" s="5">
        <v>38317</v>
      </c>
      <c r="L5" s="6">
        <v>5400</v>
      </c>
      <c r="M5" s="6">
        <v>66</v>
      </c>
      <c r="N5" s="6">
        <v>21</v>
      </c>
      <c r="O5" s="6">
        <v>1620</v>
      </c>
      <c r="P5" s="4" t="s">
        <v>51</v>
      </c>
      <c r="Q5" s="6">
        <v>7020</v>
      </c>
      <c r="R5" s="6">
        <v>6520</v>
      </c>
    </row>
    <row r="6" spans="1:18" ht="19.899999999999999" customHeight="1" x14ac:dyDescent="0.2">
      <c r="A6" s="4">
        <v>1000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5">
        <v>24364</v>
      </c>
      <c r="H6" s="6">
        <v>60</v>
      </c>
      <c r="I6" s="6">
        <v>100</v>
      </c>
      <c r="J6" s="6">
        <v>491</v>
      </c>
      <c r="K6" s="5">
        <v>32726</v>
      </c>
      <c r="L6" s="6">
        <v>6000</v>
      </c>
      <c r="M6" s="6">
        <v>59</v>
      </c>
      <c r="N6" s="6">
        <v>36</v>
      </c>
      <c r="O6" s="6">
        <v>1800</v>
      </c>
      <c r="P6" s="4" t="s">
        <v>52</v>
      </c>
      <c r="Q6" s="6">
        <v>7800</v>
      </c>
      <c r="R6" s="6">
        <v>7309</v>
      </c>
    </row>
    <row r="7" spans="1:18" ht="19.899999999999999" customHeight="1" x14ac:dyDescent="0.2">
      <c r="A7" s="4">
        <v>1256</v>
      </c>
      <c r="B7" s="4" t="s">
        <v>24</v>
      </c>
      <c r="C7" s="4" t="s">
        <v>25</v>
      </c>
      <c r="D7" s="4" t="s">
        <v>21</v>
      </c>
      <c r="E7" s="4" t="s">
        <v>26</v>
      </c>
      <c r="F7" s="4" t="s">
        <v>23</v>
      </c>
      <c r="G7" s="5">
        <v>23719</v>
      </c>
      <c r="H7" s="6">
        <v>100</v>
      </c>
      <c r="I7" s="6">
        <v>120</v>
      </c>
      <c r="J7" s="6">
        <v>866</v>
      </c>
      <c r="K7" s="5">
        <v>36203</v>
      </c>
      <c r="L7" s="6">
        <v>12000</v>
      </c>
      <c r="M7" s="6">
        <v>61</v>
      </c>
      <c r="N7" s="6">
        <v>27</v>
      </c>
      <c r="O7" s="6">
        <v>3600</v>
      </c>
      <c r="P7" s="4" t="s">
        <v>51</v>
      </c>
      <c r="Q7" s="6">
        <v>15600</v>
      </c>
      <c r="R7" s="6">
        <v>14734</v>
      </c>
    </row>
    <row r="8" spans="1:18" ht="19.899999999999999" customHeight="1" x14ac:dyDescent="0.2">
      <c r="A8" s="4">
        <v>6542</v>
      </c>
      <c r="B8" s="4" t="s">
        <v>38</v>
      </c>
      <c r="C8" s="4" t="s">
        <v>39</v>
      </c>
      <c r="D8" s="4" t="s">
        <v>21</v>
      </c>
      <c r="E8" s="4" t="s">
        <v>37</v>
      </c>
      <c r="F8" s="4" t="s">
        <v>23</v>
      </c>
      <c r="G8" s="5">
        <v>23925</v>
      </c>
      <c r="H8" s="6">
        <v>55</v>
      </c>
      <c r="I8" s="6">
        <v>110</v>
      </c>
      <c r="J8" s="6">
        <v>543.70000000000005</v>
      </c>
      <c r="K8" s="5">
        <v>28483</v>
      </c>
      <c r="L8" s="6">
        <v>6050</v>
      </c>
      <c r="M8" s="6">
        <v>60</v>
      </c>
      <c r="N8" s="6">
        <v>48</v>
      </c>
      <c r="O8" s="6">
        <v>1815</v>
      </c>
      <c r="P8" s="4" t="s">
        <v>51</v>
      </c>
      <c r="Q8" s="6">
        <v>7865</v>
      </c>
      <c r="R8" s="6">
        <v>7321.3</v>
      </c>
    </row>
    <row r="9" spans="1:18" ht="19.899999999999999" customHeight="1" x14ac:dyDescent="0.2">
      <c r="A9" s="4">
        <v>5693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23</v>
      </c>
      <c r="G9" s="5">
        <v>25263</v>
      </c>
      <c r="H9" s="6">
        <v>55</v>
      </c>
      <c r="I9" s="6">
        <v>110</v>
      </c>
      <c r="J9" s="6">
        <v>452.9</v>
      </c>
      <c r="K9" s="5">
        <v>32875</v>
      </c>
      <c r="L9" s="6">
        <v>6050</v>
      </c>
      <c r="M9" s="6">
        <v>57</v>
      </c>
      <c r="N9" s="6">
        <v>36</v>
      </c>
      <c r="O9" s="6">
        <v>1815</v>
      </c>
      <c r="P9" s="4" t="s">
        <v>52</v>
      </c>
      <c r="Q9" s="6">
        <v>7865</v>
      </c>
      <c r="R9" s="6">
        <v>7412.1</v>
      </c>
    </row>
    <row r="10" spans="1:18" ht="19.899999999999999" customHeight="1" x14ac:dyDescent="0.2">
      <c r="A10" s="4">
        <v>7896</v>
      </c>
      <c r="B10" s="4" t="s">
        <v>43</v>
      </c>
      <c r="C10" s="4" t="s">
        <v>44</v>
      </c>
      <c r="D10" s="4" t="s">
        <v>36</v>
      </c>
      <c r="E10" s="4" t="s">
        <v>45</v>
      </c>
      <c r="F10" s="4" t="s">
        <v>23</v>
      </c>
      <c r="G10" s="5">
        <v>25356</v>
      </c>
      <c r="H10" s="6">
        <v>90</v>
      </c>
      <c r="I10" s="6">
        <v>80</v>
      </c>
      <c r="J10" s="6">
        <v>550.79999999999995</v>
      </c>
      <c r="K10" s="5">
        <v>36740</v>
      </c>
      <c r="L10" s="6">
        <v>7200</v>
      </c>
      <c r="M10" s="6">
        <v>56</v>
      </c>
      <c r="N10" s="6">
        <v>25</v>
      </c>
      <c r="O10" s="6">
        <v>2160</v>
      </c>
      <c r="P10" s="4" t="s">
        <v>52</v>
      </c>
      <c r="Q10" s="6">
        <v>9360</v>
      </c>
      <c r="R10" s="6">
        <v>8809.2000000000007</v>
      </c>
    </row>
    <row r="11" spans="1:18" ht="19.899999999999999" customHeight="1" x14ac:dyDescent="0.2">
      <c r="A11" s="4">
        <v>1258</v>
      </c>
      <c r="B11" s="4" t="s">
        <v>27</v>
      </c>
      <c r="C11" s="4" t="s">
        <v>28</v>
      </c>
      <c r="D11" s="4" t="s">
        <v>21</v>
      </c>
      <c r="E11" s="4" t="s">
        <v>29</v>
      </c>
      <c r="F11" s="4" t="s">
        <v>30</v>
      </c>
      <c r="G11" s="5">
        <v>19970</v>
      </c>
      <c r="H11" s="6">
        <v>80</v>
      </c>
      <c r="I11" s="6">
        <v>95</v>
      </c>
      <c r="J11" s="6">
        <v>560</v>
      </c>
      <c r="K11" s="5">
        <v>37963</v>
      </c>
      <c r="L11" s="6">
        <v>7600</v>
      </c>
      <c r="M11" s="6">
        <v>71</v>
      </c>
      <c r="N11" s="6">
        <v>22</v>
      </c>
      <c r="O11" s="6">
        <v>2280</v>
      </c>
      <c r="P11" s="4" t="s">
        <v>51</v>
      </c>
      <c r="Q11" s="6">
        <v>9880</v>
      </c>
      <c r="R11" s="6">
        <v>9320</v>
      </c>
    </row>
    <row r="12" spans="1:18" ht="19.899999999999999" customHeight="1" x14ac:dyDescent="0.2">
      <c r="A12" s="4">
        <v>9439</v>
      </c>
      <c r="B12" s="4" t="s">
        <v>49</v>
      </c>
      <c r="C12" s="4" t="s">
        <v>50</v>
      </c>
      <c r="D12" s="4" t="s">
        <v>21</v>
      </c>
      <c r="E12" s="4" t="s">
        <v>29</v>
      </c>
      <c r="F12" s="4" t="s">
        <v>30</v>
      </c>
      <c r="G12" s="5">
        <v>25687</v>
      </c>
      <c r="H12" s="6">
        <v>80</v>
      </c>
      <c r="I12" s="6">
        <v>90</v>
      </c>
      <c r="J12" s="6">
        <v>550.70000000000005</v>
      </c>
      <c r="K12" s="5">
        <v>25934</v>
      </c>
      <c r="L12" s="6">
        <v>7200</v>
      </c>
      <c r="M12" s="6">
        <v>55</v>
      </c>
      <c r="N12" s="6">
        <v>55</v>
      </c>
      <c r="O12" s="6">
        <v>2160</v>
      </c>
      <c r="P12" s="4" t="s">
        <v>52</v>
      </c>
      <c r="Q12" s="6">
        <v>9360</v>
      </c>
      <c r="R12" s="6">
        <v>8809.2999999999993</v>
      </c>
    </row>
    <row r="13" spans="1:18" ht="19.899999999999999" customHeight="1" x14ac:dyDescent="0.2">
      <c r="A13" s="4">
        <v>8523</v>
      </c>
      <c r="B13" s="4" t="s">
        <v>46</v>
      </c>
      <c r="C13" s="4" t="s">
        <v>47</v>
      </c>
      <c r="D13" s="4" t="s">
        <v>36</v>
      </c>
      <c r="E13" s="4" t="s">
        <v>48</v>
      </c>
      <c r="F13" s="4" t="s">
        <v>30</v>
      </c>
      <c r="G13" s="5">
        <v>21976</v>
      </c>
      <c r="H13" s="6">
        <v>45</v>
      </c>
      <c r="I13" s="6">
        <v>120</v>
      </c>
      <c r="J13" s="6">
        <v>450</v>
      </c>
      <c r="K13" s="5">
        <v>38434</v>
      </c>
      <c r="L13" s="6">
        <v>5400</v>
      </c>
      <c r="M13" s="6">
        <v>66</v>
      </c>
      <c r="N13" s="6">
        <v>21</v>
      </c>
      <c r="O13" s="6">
        <v>1620</v>
      </c>
      <c r="P13" s="4" t="s">
        <v>51</v>
      </c>
      <c r="Q13" s="6">
        <v>7020</v>
      </c>
      <c r="R13" s="6">
        <v>6570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workbookViewId="0"/>
  </sheetViews>
  <sheetFormatPr defaultColWidth="8.7421875" defaultRowHeight="15" x14ac:dyDescent="0.2"/>
  <cols>
    <col min="1" max="1" width="11.02734375" customWidth="1"/>
    <col min="2" max="2" width="13.98828125" customWidth="1"/>
    <col min="3" max="3" width="11.97265625" customWidth="1"/>
    <col min="4" max="4" width="9.953125" customWidth="1"/>
    <col min="5" max="6" width="14.9296875" customWidth="1"/>
    <col min="7" max="7" width="16.0078125" customWidth="1"/>
    <col min="8" max="8" width="11.02734375" customWidth="1"/>
    <col min="9" max="9" width="11.97265625" customWidth="1"/>
    <col min="10" max="10" width="11.02734375" customWidth="1"/>
    <col min="11" max="11" width="16.0078125" customWidth="1"/>
    <col min="12" max="12" width="13.046875" customWidth="1"/>
    <col min="13" max="13" width="7.93359375" customWidth="1"/>
    <col min="14" max="15" width="11.02734375" customWidth="1"/>
    <col min="16" max="16" width="9.953125" customWidth="1"/>
    <col min="17" max="18" width="11.97265625" customWidth="1"/>
  </cols>
  <sheetData>
    <row r="1" spans="1:18" ht="19.899999999999999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899999999999999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9.899999999999999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19.899999999999999" customHeight="1" x14ac:dyDescent="0.2">
      <c r="A4" s="4">
        <v>1256</v>
      </c>
      <c r="B4" s="4" t="s">
        <v>24</v>
      </c>
      <c r="C4" s="4" t="s">
        <v>25</v>
      </c>
      <c r="D4" s="4" t="s">
        <v>21</v>
      </c>
      <c r="E4" s="4" t="s">
        <v>26</v>
      </c>
      <c r="F4" s="4" t="s">
        <v>23</v>
      </c>
      <c r="G4" s="5">
        <v>23719</v>
      </c>
      <c r="H4" s="6">
        <v>100</v>
      </c>
      <c r="I4" s="6">
        <v>120</v>
      </c>
      <c r="J4" s="6">
        <v>866</v>
      </c>
      <c r="K4" s="5">
        <v>36203</v>
      </c>
      <c r="L4" s="6">
        <v>12000</v>
      </c>
      <c r="M4" s="6">
        <v>61</v>
      </c>
      <c r="N4" s="6">
        <v>27</v>
      </c>
      <c r="O4" s="6">
        <v>3600</v>
      </c>
      <c r="P4" s="4" t="s">
        <v>51</v>
      </c>
      <c r="Q4" s="6">
        <v>15600</v>
      </c>
      <c r="R4" s="6">
        <v>14734</v>
      </c>
    </row>
    <row r="5" spans="1:18" ht="19.899999999999999" customHeight="1" x14ac:dyDescent="0.2">
      <c r="A5" s="4">
        <v>7896</v>
      </c>
      <c r="B5" s="4" t="s">
        <v>43</v>
      </c>
      <c r="C5" s="4" t="s">
        <v>44</v>
      </c>
      <c r="D5" s="4" t="s">
        <v>36</v>
      </c>
      <c r="E5" s="4" t="s">
        <v>45</v>
      </c>
      <c r="F5" s="4" t="s">
        <v>23</v>
      </c>
      <c r="G5" s="5">
        <v>25356</v>
      </c>
      <c r="H5" s="6">
        <v>90</v>
      </c>
      <c r="I5" s="6">
        <v>80</v>
      </c>
      <c r="J5" s="6">
        <v>550.79999999999995</v>
      </c>
      <c r="K5" s="5">
        <v>36740</v>
      </c>
      <c r="L5" s="6">
        <v>7200</v>
      </c>
      <c r="M5" s="6">
        <v>56</v>
      </c>
      <c r="N5" s="6">
        <v>25</v>
      </c>
      <c r="O5" s="6">
        <v>2160</v>
      </c>
      <c r="P5" s="4" t="s">
        <v>52</v>
      </c>
      <c r="Q5" s="6">
        <v>9360</v>
      </c>
      <c r="R5" s="6">
        <v>8809.2000000000007</v>
      </c>
    </row>
    <row r="6" spans="1:18" ht="19.899999999999999" customHeight="1" x14ac:dyDescent="0.2">
      <c r="A6" s="4">
        <v>1258</v>
      </c>
      <c r="B6" s="4" t="s">
        <v>27</v>
      </c>
      <c r="C6" s="4" t="s">
        <v>28</v>
      </c>
      <c r="D6" s="4" t="s">
        <v>21</v>
      </c>
      <c r="E6" s="4" t="s">
        <v>29</v>
      </c>
      <c r="F6" s="4" t="s">
        <v>30</v>
      </c>
      <c r="G6" s="5">
        <v>19970</v>
      </c>
      <c r="H6" s="6">
        <v>80</v>
      </c>
      <c r="I6" s="6">
        <v>95</v>
      </c>
      <c r="J6" s="6">
        <v>560</v>
      </c>
      <c r="K6" s="5">
        <v>37963</v>
      </c>
      <c r="L6" s="6">
        <v>7600</v>
      </c>
      <c r="M6" s="6">
        <v>71</v>
      </c>
      <c r="N6" s="6">
        <v>22</v>
      </c>
      <c r="O6" s="6">
        <v>2280</v>
      </c>
      <c r="P6" s="4" t="s">
        <v>51</v>
      </c>
      <c r="Q6" s="6">
        <v>9880</v>
      </c>
      <c r="R6" s="6">
        <v>9320</v>
      </c>
    </row>
    <row r="7" spans="1:18" ht="19.899999999999999" customHeight="1" x14ac:dyDescent="0.2">
      <c r="A7" s="4">
        <v>9439</v>
      </c>
      <c r="B7" s="4" t="s">
        <v>49</v>
      </c>
      <c r="C7" s="4" t="s">
        <v>50</v>
      </c>
      <c r="D7" s="4" t="s">
        <v>21</v>
      </c>
      <c r="E7" s="4" t="s">
        <v>29</v>
      </c>
      <c r="F7" s="4" t="s">
        <v>30</v>
      </c>
      <c r="G7" s="5">
        <v>25687</v>
      </c>
      <c r="H7" s="6">
        <v>80</v>
      </c>
      <c r="I7" s="6">
        <v>90</v>
      </c>
      <c r="J7" s="6">
        <v>550.70000000000005</v>
      </c>
      <c r="K7" s="5">
        <v>25934</v>
      </c>
      <c r="L7" s="6">
        <v>7200</v>
      </c>
      <c r="M7" s="6">
        <v>55</v>
      </c>
      <c r="N7" s="6">
        <v>55</v>
      </c>
      <c r="O7" s="6">
        <v>2160</v>
      </c>
      <c r="P7" s="4" t="s">
        <v>52</v>
      </c>
      <c r="Q7" s="6">
        <v>9360</v>
      </c>
      <c r="R7" s="6">
        <v>8809.2999999999993</v>
      </c>
    </row>
    <row r="8" spans="1:18" ht="19.899999999999999" customHeight="1" x14ac:dyDescent="0.2">
      <c r="A8" s="4">
        <v>1000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5">
        <v>24364</v>
      </c>
      <c r="H8" s="6">
        <v>60</v>
      </c>
      <c r="I8" s="6">
        <v>100</v>
      </c>
      <c r="J8" s="6">
        <v>491</v>
      </c>
      <c r="K8" s="5">
        <v>32726</v>
      </c>
      <c r="L8" s="6">
        <v>6000</v>
      </c>
      <c r="M8" s="6">
        <v>59</v>
      </c>
      <c r="N8" s="6">
        <v>36</v>
      </c>
      <c r="O8" s="6">
        <v>1800</v>
      </c>
      <c r="P8" s="4" t="s">
        <v>52</v>
      </c>
      <c r="Q8" s="6">
        <v>7800</v>
      </c>
      <c r="R8" s="6">
        <v>7309</v>
      </c>
    </row>
    <row r="9" spans="1:18" ht="19.899999999999999" customHeight="1" x14ac:dyDescent="0.2">
      <c r="A9" s="4">
        <v>2369</v>
      </c>
      <c r="B9" s="4" t="s">
        <v>31</v>
      </c>
      <c r="C9" s="4" t="s">
        <v>32</v>
      </c>
      <c r="D9" s="4" t="s">
        <v>21</v>
      </c>
      <c r="E9" s="4" t="s">
        <v>22</v>
      </c>
      <c r="F9" s="4" t="s">
        <v>33</v>
      </c>
      <c r="G9" s="5">
        <v>26639</v>
      </c>
      <c r="H9" s="6">
        <v>60</v>
      </c>
      <c r="I9" s="6">
        <v>100</v>
      </c>
      <c r="J9" s="6">
        <v>400</v>
      </c>
      <c r="K9" s="5">
        <v>32296</v>
      </c>
      <c r="L9" s="6">
        <v>6000</v>
      </c>
      <c r="M9" s="6">
        <v>53</v>
      </c>
      <c r="N9" s="6">
        <v>37</v>
      </c>
      <c r="O9" s="6">
        <v>1800</v>
      </c>
      <c r="P9" s="4" t="s">
        <v>52</v>
      </c>
      <c r="Q9" s="6">
        <v>7800</v>
      </c>
      <c r="R9" s="6">
        <v>7400</v>
      </c>
    </row>
    <row r="10" spans="1:18" ht="19.899999999999999" customHeight="1" x14ac:dyDescent="0.2">
      <c r="A10" s="4">
        <v>5693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23</v>
      </c>
      <c r="G10" s="5">
        <v>25263</v>
      </c>
      <c r="H10" s="6">
        <v>55</v>
      </c>
      <c r="I10" s="6">
        <v>110</v>
      </c>
      <c r="J10" s="6">
        <v>452.9</v>
      </c>
      <c r="K10" s="5">
        <v>32875</v>
      </c>
      <c r="L10" s="6">
        <v>6050</v>
      </c>
      <c r="M10" s="6">
        <v>57</v>
      </c>
      <c r="N10" s="6">
        <v>36</v>
      </c>
      <c r="O10" s="6">
        <v>1815</v>
      </c>
      <c r="P10" s="4" t="s">
        <v>52</v>
      </c>
      <c r="Q10" s="6">
        <v>7865</v>
      </c>
      <c r="R10" s="6">
        <v>7412.1</v>
      </c>
    </row>
    <row r="11" spans="1:18" ht="19.899999999999999" customHeight="1" x14ac:dyDescent="0.2">
      <c r="A11" s="4">
        <v>6542</v>
      </c>
      <c r="B11" s="4" t="s">
        <v>38</v>
      </c>
      <c r="C11" s="4" t="s">
        <v>39</v>
      </c>
      <c r="D11" s="4" t="s">
        <v>21</v>
      </c>
      <c r="E11" s="4" t="s">
        <v>37</v>
      </c>
      <c r="F11" s="4" t="s">
        <v>23</v>
      </c>
      <c r="G11" s="5">
        <v>23925</v>
      </c>
      <c r="H11" s="6">
        <v>55</v>
      </c>
      <c r="I11" s="6">
        <v>110</v>
      </c>
      <c r="J11" s="6">
        <v>543.70000000000005</v>
      </c>
      <c r="K11" s="5">
        <v>28483</v>
      </c>
      <c r="L11" s="6">
        <v>6050</v>
      </c>
      <c r="M11" s="6">
        <v>60</v>
      </c>
      <c r="N11" s="6">
        <v>48</v>
      </c>
      <c r="O11" s="6">
        <v>1815</v>
      </c>
      <c r="P11" s="4" t="s">
        <v>51</v>
      </c>
      <c r="Q11" s="6">
        <v>7865</v>
      </c>
      <c r="R11" s="6">
        <v>7321.3</v>
      </c>
    </row>
    <row r="12" spans="1:18" ht="19.899999999999999" customHeight="1" x14ac:dyDescent="0.2">
      <c r="A12" s="4">
        <v>7412</v>
      </c>
      <c r="B12" s="4" t="s">
        <v>40</v>
      </c>
      <c r="C12" s="4" t="s">
        <v>41</v>
      </c>
      <c r="D12" s="4" t="s">
        <v>21</v>
      </c>
      <c r="E12" s="4" t="s">
        <v>42</v>
      </c>
      <c r="F12" s="4" t="s">
        <v>33</v>
      </c>
      <c r="G12" s="5">
        <v>21764</v>
      </c>
      <c r="H12" s="6">
        <v>45</v>
      </c>
      <c r="I12" s="6">
        <v>120</v>
      </c>
      <c r="J12" s="6">
        <v>500</v>
      </c>
      <c r="K12" s="5">
        <v>38317</v>
      </c>
      <c r="L12" s="6">
        <v>5400</v>
      </c>
      <c r="M12" s="6">
        <v>66</v>
      </c>
      <c r="N12" s="6">
        <v>21</v>
      </c>
      <c r="O12" s="6">
        <v>1620</v>
      </c>
      <c r="P12" s="4" t="s">
        <v>51</v>
      </c>
      <c r="Q12" s="6">
        <v>7020</v>
      </c>
      <c r="R12" s="6">
        <v>6520</v>
      </c>
    </row>
    <row r="13" spans="1:18" ht="19.899999999999999" customHeight="1" x14ac:dyDescent="0.2">
      <c r="A13" s="4">
        <v>8523</v>
      </c>
      <c r="B13" s="4" t="s">
        <v>46</v>
      </c>
      <c r="C13" s="4" t="s">
        <v>47</v>
      </c>
      <c r="D13" s="4" t="s">
        <v>36</v>
      </c>
      <c r="E13" s="4" t="s">
        <v>48</v>
      </c>
      <c r="F13" s="4" t="s">
        <v>30</v>
      </c>
      <c r="G13" s="5">
        <v>21976</v>
      </c>
      <c r="H13" s="6">
        <v>45</v>
      </c>
      <c r="I13" s="6">
        <v>120</v>
      </c>
      <c r="J13" s="6">
        <v>450</v>
      </c>
      <c r="K13" s="5">
        <v>38434</v>
      </c>
      <c r="L13" s="6">
        <v>5400</v>
      </c>
      <c r="M13" s="6">
        <v>66</v>
      </c>
      <c r="N13" s="6">
        <v>21</v>
      </c>
      <c r="O13" s="6">
        <v>1620</v>
      </c>
      <c r="P13" s="4" t="s">
        <v>51</v>
      </c>
      <c r="Q13" s="6">
        <v>7020</v>
      </c>
      <c r="R13" s="6">
        <v>6570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workbookViewId="0">
      <selection activeCell="J5" sqref="J5"/>
    </sheetView>
  </sheetViews>
  <sheetFormatPr defaultColWidth="8.7421875" defaultRowHeight="15" x14ac:dyDescent="0.2"/>
  <cols>
    <col min="1" max="1" width="11.02734375" customWidth="1"/>
    <col min="2" max="2" width="13.98828125" customWidth="1"/>
    <col min="3" max="3" width="11.97265625" customWidth="1"/>
    <col min="4" max="4" width="9.953125" customWidth="1"/>
    <col min="5" max="6" width="14.9296875" customWidth="1"/>
    <col min="7" max="7" width="16.0078125" customWidth="1"/>
    <col min="8" max="8" width="11.02734375" customWidth="1"/>
    <col min="9" max="9" width="11.97265625" customWidth="1"/>
    <col min="10" max="10" width="11.02734375" customWidth="1"/>
    <col min="11" max="11" width="16.0078125" customWidth="1"/>
    <col min="12" max="12" width="13.046875" customWidth="1"/>
    <col min="13" max="13" width="7.93359375" customWidth="1"/>
    <col min="14" max="15" width="11.02734375" customWidth="1"/>
    <col min="16" max="16" width="9.953125" customWidth="1"/>
    <col min="17" max="18" width="11.97265625" customWidth="1"/>
  </cols>
  <sheetData>
    <row r="1" spans="1:18" ht="19.899999999999999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899999999999999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9.899999999999999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19.899999999999999" customHeight="1" x14ac:dyDescent="0.2">
      <c r="A4" s="4">
        <v>1000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5">
        <v>24364</v>
      </c>
      <c r="H4" s="6">
        <v>60</v>
      </c>
      <c r="I4" s="6">
        <v>100</v>
      </c>
      <c r="J4" s="6">
        <v>491</v>
      </c>
      <c r="K4" s="5">
        <v>32726</v>
      </c>
      <c r="L4" s="6">
        <v>6000</v>
      </c>
      <c r="M4" s="6">
        <v>59</v>
      </c>
      <c r="N4" s="6">
        <v>36</v>
      </c>
      <c r="O4" s="6">
        <v>1800</v>
      </c>
      <c r="P4" s="4" t="s">
        <v>52</v>
      </c>
      <c r="Q4" s="6">
        <v>7800</v>
      </c>
      <c r="R4" s="6">
        <v>7309</v>
      </c>
    </row>
    <row r="5" spans="1:18" ht="19.899999999999999" customHeight="1" x14ac:dyDescent="0.2">
      <c r="A5" s="4">
        <v>1256</v>
      </c>
      <c r="B5" s="4" t="s">
        <v>24</v>
      </c>
      <c r="C5" s="4" t="s">
        <v>25</v>
      </c>
      <c r="D5" s="4" t="s">
        <v>21</v>
      </c>
      <c r="E5" s="4" t="s">
        <v>26</v>
      </c>
      <c r="F5" s="4" t="s">
        <v>23</v>
      </c>
      <c r="G5" s="5">
        <v>23719</v>
      </c>
      <c r="H5" s="6">
        <v>100</v>
      </c>
      <c r="I5" s="6">
        <v>120</v>
      </c>
      <c r="J5" s="6">
        <v>866</v>
      </c>
      <c r="K5" s="5">
        <v>36203</v>
      </c>
      <c r="L5" s="6">
        <v>12000</v>
      </c>
      <c r="M5" s="6">
        <v>61</v>
      </c>
      <c r="N5" s="6">
        <v>27</v>
      </c>
      <c r="O5" s="6">
        <v>3600</v>
      </c>
      <c r="P5" s="4" t="s">
        <v>51</v>
      </c>
      <c r="Q5" s="6">
        <v>15600</v>
      </c>
      <c r="R5" s="6">
        <v>14734</v>
      </c>
    </row>
    <row r="6" spans="1:18" ht="19.899999999999999" customHeight="1" x14ac:dyDescent="0.2">
      <c r="A6" s="4">
        <v>5693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23</v>
      </c>
      <c r="G6" s="5">
        <v>25263</v>
      </c>
      <c r="H6" s="6">
        <v>55</v>
      </c>
      <c r="I6" s="6">
        <v>110</v>
      </c>
      <c r="J6" s="6">
        <v>452.9</v>
      </c>
      <c r="K6" s="5">
        <v>32875</v>
      </c>
      <c r="L6" s="6">
        <v>6050</v>
      </c>
      <c r="M6" s="6">
        <v>57</v>
      </c>
      <c r="N6" s="6">
        <v>36</v>
      </c>
      <c r="O6" s="6">
        <v>1815</v>
      </c>
      <c r="P6" s="4" t="s">
        <v>52</v>
      </c>
      <c r="Q6" s="6">
        <v>7865</v>
      </c>
      <c r="R6" s="6">
        <v>7412.1</v>
      </c>
    </row>
    <row r="7" spans="1:18" ht="19.899999999999999" customHeight="1" x14ac:dyDescent="0.2">
      <c r="A7" s="4">
        <v>6542</v>
      </c>
      <c r="B7" s="4" t="s">
        <v>38</v>
      </c>
      <c r="C7" s="4" t="s">
        <v>39</v>
      </c>
      <c r="D7" s="4" t="s">
        <v>21</v>
      </c>
      <c r="E7" s="4" t="s">
        <v>37</v>
      </c>
      <c r="F7" s="4" t="s">
        <v>23</v>
      </c>
      <c r="G7" s="5">
        <v>23925</v>
      </c>
      <c r="H7" s="6">
        <v>55</v>
      </c>
      <c r="I7" s="6">
        <v>110</v>
      </c>
      <c r="J7" s="6">
        <v>543.70000000000005</v>
      </c>
      <c r="K7" s="5">
        <v>28483</v>
      </c>
      <c r="L7" s="6">
        <v>6050</v>
      </c>
      <c r="M7" s="6">
        <v>60</v>
      </c>
      <c r="N7" s="6">
        <v>48</v>
      </c>
      <c r="O7" s="6">
        <v>1815</v>
      </c>
      <c r="P7" s="4" t="s">
        <v>51</v>
      </c>
      <c r="Q7" s="6">
        <v>7865</v>
      </c>
      <c r="R7" s="6">
        <v>7321.3</v>
      </c>
    </row>
    <row r="8" spans="1:18" ht="19.899999999999999" customHeight="1" x14ac:dyDescent="0.2">
      <c r="A8" s="4">
        <v>7896</v>
      </c>
      <c r="B8" s="4" t="s">
        <v>43</v>
      </c>
      <c r="C8" s="4" t="s">
        <v>44</v>
      </c>
      <c r="D8" s="4" t="s">
        <v>36</v>
      </c>
      <c r="E8" s="4" t="s">
        <v>45</v>
      </c>
      <c r="F8" s="4" t="s">
        <v>23</v>
      </c>
      <c r="G8" s="5">
        <v>25356</v>
      </c>
      <c r="H8" s="6">
        <v>90</v>
      </c>
      <c r="I8" s="6">
        <v>80</v>
      </c>
      <c r="J8" s="6">
        <v>550.79999999999995</v>
      </c>
      <c r="K8" s="5">
        <v>36740</v>
      </c>
      <c r="L8" s="6">
        <v>7200</v>
      </c>
      <c r="M8" s="6">
        <v>56</v>
      </c>
      <c r="N8" s="6">
        <v>25</v>
      </c>
      <c r="O8" s="6">
        <v>2160</v>
      </c>
      <c r="P8" s="4" t="s">
        <v>52</v>
      </c>
      <c r="Q8" s="6">
        <v>9360</v>
      </c>
      <c r="R8" s="6">
        <v>8809.2000000000007</v>
      </c>
    </row>
    <row r="9" spans="1:18" ht="19.899999999999999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9.899999999999999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9.899999999999999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9.899999999999999" customHeight="1" x14ac:dyDescent="0.2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  <c r="L12" s="2" t="s">
        <v>12</v>
      </c>
      <c r="M12" s="2" t="s">
        <v>13</v>
      </c>
      <c r="N12" s="2" t="s">
        <v>14</v>
      </c>
      <c r="O12" s="2" t="s">
        <v>15</v>
      </c>
      <c r="P12" s="2" t="s">
        <v>16</v>
      </c>
      <c r="Q12" s="2" t="s">
        <v>17</v>
      </c>
      <c r="R12" s="2" t="s">
        <v>18</v>
      </c>
    </row>
    <row r="13" spans="1:18" ht="19.899999999999999" customHeight="1" x14ac:dyDescent="0.2">
      <c r="A13" s="4">
        <v>2369</v>
      </c>
      <c r="B13" s="4" t="s">
        <v>31</v>
      </c>
      <c r="C13" s="4" t="s">
        <v>32</v>
      </c>
      <c r="D13" s="4" t="s">
        <v>21</v>
      </c>
      <c r="E13" s="4" t="s">
        <v>22</v>
      </c>
      <c r="F13" s="4" t="s">
        <v>33</v>
      </c>
      <c r="G13" s="5">
        <v>26639</v>
      </c>
      <c r="H13" s="6">
        <v>60</v>
      </c>
      <c r="I13" s="6">
        <v>100</v>
      </c>
      <c r="J13" s="6">
        <v>400</v>
      </c>
      <c r="K13" s="5">
        <v>32296</v>
      </c>
      <c r="L13" s="6">
        <v>6000</v>
      </c>
      <c r="M13" s="6">
        <v>53</v>
      </c>
      <c r="N13" s="6">
        <v>37</v>
      </c>
      <c r="O13" s="6">
        <v>1800</v>
      </c>
      <c r="P13" s="4" t="s">
        <v>52</v>
      </c>
      <c r="Q13" s="6">
        <v>7800</v>
      </c>
      <c r="R13" s="6">
        <v>7400</v>
      </c>
    </row>
    <row r="14" spans="1:18" ht="19.899999999999999" customHeight="1" x14ac:dyDescent="0.2">
      <c r="A14" s="4">
        <v>7412</v>
      </c>
      <c r="B14" s="4" t="s">
        <v>40</v>
      </c>
      <c r="C14" s="4" t="s">
        <v>41</v>
      </c>
      <c r="D14" s="4" t="s">
        <v>21</v>
      </c>
      <c r="E14" s="4" t="s">
        <v>42</v>
      </c>
      <c r="F14" s="4" t="s">
        <v>33</v>
      </c>
      <c r="G14" s="5">
        <v>21764</v>
      </c>
      <c r="H14" s="6">
        <v>45</v>
      </c>
      <c r="I14" s="6">
        <v>120</v>
      </c>
      <c r="J14" s="6">
        <v>500</v>
      </c>
      <c r="K14" s="5">
        <v>38317</v>
      </c>
      <c r="L14" s="6">
        <v>5400</v>
      </c>
      <c r="M14" s="6">
        <v>66</v>
      </c>
      <c r="N14" s="6">
        <v>21</v>
      </c>
      <c r="O14" s="6">
        <v>1620</v>
      </c>
      <c r="P14" s="4" t="s">
        <v>51</v>
      </c>
      <c r="Q14" s="6">
        <v>7020</v>
      </c>
      <c r="R14" s="6">
        <v>6520</v>
      </c>
    </row>
    <row r="15" spans="1:18" ht="19.899999999999999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9.899999999999999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9.899999999999999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9.899999999999999" customHeight="1" x14ac:dyDescent="0.2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N18" s="2" t="s">
        <v>14</v>
      </c>
      <c r="O18" s="2" t="s">
        <v>15</v>
      </c>
      <c r="P18" s="2" t="s">
        <v>16</v>
      </c>
      <c r="Q18" s="2" t="s">
        <v>17</v>
      </c>
      <c r="R18" s="2" t="s">
        <v>18</v>
      </c>
    </row>
    <row r="19" spans="1:18" ht="19.899999999999999" customHeight="1" x14ac:dyDescent="0.2">
      <c r="A19" s="4">
        <v>1256</v>
      </c>
      <c r="B19" s="4" t="s">
        <v>24</v>
      </c>
      <c r="C19" s="4" t="s">
        <v>25</v>
      </c>
      <c r="D19" s="4" t="s">
        <v>21</v>
      </c>
      <c r="E19" s="4" t="s">
        <v>26</v>
      </c>
      <c r="F19" s="4" t="s">
        <v>23</v>
      </c>
      <c r="G19" s="5">
        <v>23719</v>
      </c>
      <c r="H19" s="6">
        <v>100</v>
      </c>
      <c r="I19" s="6">
        <v>120</v>
      </c>
      <c r="J19" s="6">
        <v>866</v>
      </c>
      <c r="K19" s="5">
        <v>36203</v>
      </c>
      <c r="L19" s="6">
        <v>12000</v>
      </c>
      <c r="M19" s="6">
        <v>61</v>
      </c>
      <c r="N19" s="6">
        <v>27</v>
      </c>
      <c r="O19" s="6">
        <v>3600</v>
      </c>
      <c r="P19" s="4" t="s">
        <v>51</v>
      </c>
      <c r="Q19" s="6">
        <v>15600</v>
      </c>
      <c r="R19" s="6">
        <v>14734</v>
      </c>
    </row>
    <row r="20" spans="1:18" ht="19.899999999999999" customHeight="1" x14ac:dyDescent="0.2">
      <c r="A20" s="4">
        <v>1258</v>
      </c>
      <c r="B20" s="4" t="s">
        <v>27</v>
      </c>
      <c r="C20" s="4" t="s">
        <v>28</v>
      </c>
      <c r="D20" s="4" t="s">
        <v>21</v>
      </c>
      <c r="E20" s="4" t="s">
        <v>29</v>
      </c>
      <c r="F20" s="4" t="s">
        <v>30</v>
      </c>
      <c r="G20" s="5">
        <v>19970</v>
      </c>
      <c r="H20" s="6">
        <v>80</v>
      </c>
      <c r="I20" s="6">
        <v>95</v>
      </c>
      <c r="J20" s="6">
        <v>560</v>
      </c>
      <c r="K20" s="5">
        <v>37963</v>
      </c>
      <c r="L20" s="6">
        <v>7600</v>
      </c>
      <c r="M20" s="6">
        <v>71</v>
      </c>
      <c r="N20" s="6">
        <v>22</v>
      </c>
      <c r="O20" s="6">
        <v>2280</v>
      </c>
      <c r="P20" s="4" t="s">
        <v>51</v>
      </c>
      <c r="Q20" s="6">
        <v>9880</v>
      </c>
      <c r="R20" s="6">
        <v>9320</v>
      </c>
    </row>
    <row r="21" spans="1:18" ht="19.899999999999999" customHeight="1" x14ac:dyDescent="0.2">
      <c r="A21" s="4">
        <v>7896</v>
      </c>
      <c r="B21" s="4" t="s">
        <v>43</v>
      </c>
      <c r="C21" s="4" t="s">
        <v>44</v>
      </c>
      <c r="D21" s="4" t="s">
        <v>36</v>
      </c>
      <c r="E21" s="4" t="s">
        <v>45</v>
      </c>
      <c r="F21" s="4" t="s">
        <v>23</v>
      </c>
      <c r="G21" s="5">
        <v>25356</v>
      </c>
      <c r="H21" s="6">
        <v>90</v>
      </c>
      <c r="I21" s="6">
        <v>80</v>
      </c>
      <c r="J21" s="6">
        <v>550.79999999999995</v>
      </c>
      <c r="K21" s="5">
        <v>36740</v>
      </c>
      <c r="L21" s="6">
        <v>7200</v>
      </c>
      <c r="M21" s="6">
        <v>56</v>
      </c>
      <c r="N21" s="6">
        <v>25</v>
      </c>
      <c r="O21" s="6">
        <v>2160</v>
      </c>
      <c r="P21" s="4" t="s">
        <v>52</v>
      </c>
      <c r="Q21" s="6">
        <v>9360</v>
      </c>
      <c r="R21" s="6">
        <v>8809.2000000000007</v>
      </c>
    </row>
    <row r="22" spans="1:18" ht="19.899999999999999" customHeight="1" x14ac:dyDescent="0.2">
      <c r="A22" s="4">
        <v>9439</v>
      </c>
      <c r="B22" s="4" t="s">
        <v>49</v>
      </c>
      <c r="C22" s="4" t="s">
        <v>50</v>
      </c>
      <c r="D22" s="4" t="s">
        <v>21</v>
      </c>
      <c r="E22" s="4" t="s">
        <v>29</v>
      </c>
      <c r="F22" s="4" t="s">
        <v>30</v>
      </c>
      <c r="G22" s="5">
        <v>25687</v>
      </c>
      <c r="H22" s="6">
        <v>80</v>
      </c>
      <c r="I22" s="6">
        <v>90</v>
      </c>
      <c r="J22" s="6">
        <v>550.70000000000005</v>
      </c>
      <c r="K22" s="5">
        <v>25934</v>
      </c>
      <c r="L22" s="6">
        <v>7200</v>
      </c>
      <c r="M22" s="6">
        <v>55</v>
      </c>
      <c r="N22" s="6">
        <v>55</v>
      </c>
      <c r="O22" s="6">
        <v>2160</v>
      </c>
      <c r="P22" s="4" t="s">
        <v>52</v>
      </c>
      <c r="Q22" s="6">
        <v>9360</v>
      </c>
      <c r="R22" s="6">
        <v>8809.2999999999993</v>
      </c>
    </row>
    <row r="23" spans="1:18" ht="19.899999999999999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9.899999999999999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9.899999999999999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19.899999999999999" customHeight="1" x14ac:dyDescent="0.2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16</v>
      </c>
      <c r="Q26" s="2" t="s">
        <v>17</v>
      </c>
      <c r="R26" s="2" t="s">
        <v>18</v>
      </c>
    </row>
    <row r="27" spans="1:18" ht="19.899999999999999" customHeight="1" x14ac:dyDescent="0.2">
      <c r="A27" s="4">
        <v>1000</v>
      </c>
      <c r="B27" s="4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5">
        <v>24364</v>
      </c>
      <c r="H27" s="6">
        <v>60</v>
      </c>
      <c r="I27" s="6">
        <v>100</v>
      </c>
      <c r="J27" s="6">
        <v>491</v>
      </c>
      <c r="K27" s="5">
        <v>32726</v>
      </c>
      <c r="L27" s="6">
        <v>6000</v>
      </c>
      <c r="M27" s="6">
        <v>59</v>
      </c>
      <c r="N27" s="6">
        <v>36</v>
      </c>
      <c r="O27" s="6">
        <v>1800</v>
      </c>
      <c r="P27" s="4" t="s">
        <v>52</v>
      </c>
      <c r="Q27" s="6">
        <v>7800</v>
      </c>
      <c r="R27" s="6">
        <v>7309</v>
      </c>
    </row>
    <row r="28" spans="1:18" ht="19.899999999999999" customHeight="1" x14ac:dyDescent="0.2">
      <c r="A28" s="4">
        <v>2369</v>
      </c>
      <c r="B28" s="4" t="s">
        <v>31</v>
      </c>
      <c r="C28" s="4" t="s">
        <v>32</v>
      </c>
      <c r="D28" s="4" t="s">
        <v>21</v>
      </c>
      <c r="E28" s="4" t="s">
        <v>22</v>
      </c>
      <c r="F28" s="4" t="s">
        <v>33</v>
      </c>
      <c r="G28" s="5">
        <v>26639</v>
      </c>
      <c r="H28" s="6">
        <v>60</v>
      </c>
      <c r="I28" s="6">
        <v>100</v>
      </c>
      <c r="J28" s="6">
        <v>400</v>
      </c>
      <c r="K28" s="5">
        <v>32296</v>
      </c>
      <c r="L28" s="6">
        <v>6000</v>
      </c>
      <c r="M28" s="6">
        <v>53</v>
      </c>
      <c r="N28" s="6">
        <v>37</v>
      </c>
      <c r="O28" s="6">
        <v>1800</v>
      </c>
      <c r="P28" s="4" t="s">
        <v>52</v>
      </c>
      <c r="Q28" s="6">
        <v>7800</v>
      </c>
      <c r="R28" s="6">
        <v>7400</v>
      </c>
    </row>
    <row r="29" spans="1:18" ht="19.899999999999999" customHeight="1" x14ac:dyDescent="0.2">
      <c r="A29" s="4">
        <v>5693</v>
      </c>
      <c r="B29" s="4" t="s">
        <v>34</v>
      </c>
      <c r="C29" s="4" t="s">
        <v>35</v>
      </c>
      <c r="D29" s="4" t="s">
        <v>36</v>
      </c>
      <c r="E29" s="4" t="s">
        <v>37</v>
      </c>
      <c r="F29" s="4" t="s">
        <v>23</v>
      </c>
      <c r="G29" s="5">
        <v>25263</v>
      </c>
      <c r="H29" s="6">
        <v>55</v>
      </c>
      <c r="I29" s="6">
        <v>110</v>
      </c>
      <c r="J29" s="6">
        <v>452.9</v>
      </c>
      <c r="K29" s="5">
        <v>32875</v>
      </c>
      <c r="L29" s="6">
        <v>6050</v>
      </c>
      <c r="M29" s="6">
        <v>57</v>
      </c>
      <c r="N29" s="6">
        <v>36</v>
      </c>
      <c r="O29" s="6">
        <v>1815</v>
      </c>
      <c r="P29" s="4" t="s">
        <v>52</v>
      </c>
      <c r="Q29" s="6">
        <v>7865</v>
      </c>
      <c r="R29" s="6">
        <v>7412.1</v>
      </c>
    </row>
    <row r="30" spans="1:18" ht="19.899999999999999" customHeight="1" x14ac:dyDescent="0.2">
      <c r="A30" s="4">
        <v>6542</v>
      </c>
      <c r="B30" s="4" t="s">
        <v>38</v>
      </c>
      <c r="C30" s="4" t="s">
        <v>39</v>
      </c>
      <c r="D30" s="4" t="s">
        <v>21</v>
      </c>
      <c r="E30" s="4" t="s">
        <v>37</v>
      </c>
      <c r="F30" s="4" t="s">
        <v>23</v>
      </c>
      <c r="G30" s="5">
        <v>23925</v>
      </c>
      <c r="H30" s="6">
        <v>55</v>
      </c>
      <c r="I30" s="6">
        <v>110</v>
      </c>
      <c r="J30" s="6">
        <v>543.70000000000005</v>
      </c>
      <c r="K30" s="5">
        <v>28483</v>
      </c>
      <c r="L30" s="6">
        <v>6050</v>
      </c>
      <c r="M30" s="6">
        <v>60</v>
      </c>
      <c r="N30" s="6">
        <v>48</v>
      </c>
      <c r="O30" s="6">
        <v>1815</v>
      </c>
      <c r="P30" s="4" t="s">
        <v>51</v>
      </c>
      <c r="Q30" s="6">
        <v>7865</v>
      </c>
      <c r="R30" s="6">
        <v>7321.3</v>
      </c>
    </row>
    <row r="31" spans="1:18" ht="19.899999999999999" customHeight="1" x14ac:dyDescent="0.2">
      <c r="A31" s="4">
        <v>7412</v>
      </c>
      <c r="B31" s="4" t="s">
        <v>40</v>
      </c>
      <c r="C31" s="4" t="s">
        <v>41</v>
      </c>
      <c r="D31" s="4" t="s">
        <v>21</v>
      </c>
      <c r="E31" s="4" t="s">
        <v>42</v>
      </c>
      <c r="F31" s="4" t="s">
        <v>33</v>
      </c>
      <c r="G31" s="5">
        <v>21764</v>
      </c>
      <c r="H31" s="6">
        <v>45</v>
      </c>
      <c r="I31" s="6">
        <v>120</v>
      </c>
      <c r="J31" s="6">
        <v>500</v>
      </c>
      <c r="K31" s="5">
        <v>38317</v>
      </c>
      <c r="L31" s="6">
        <v>5400</v>
      </c>
      <c r="M31" s="6">
        <v>66</v>
      </c>
      <c r="N31" s="6">
        <v>21</v>
      </c>
      <c r="O31" s="6">
        <v>1620</v>
      </c>
      <c r="P31" s="4" t="s">
        <v>51</v>
      </c>
      <c r="Q31" s="6">
        <v>7020</v>
      </c>
      <c r="R31" s="6">
        <v>6520</v>
      </c>
    </row>
    <row r="32" spans="1:18" ht="19.899999999999999" customHeight="1" x14ac:dyDescent="0.2">
      <c r="A32" s="4">
        <v>8523</v>
      </c>
      <c r="B32" s="4" t="s">
        <v>46</v>
      </c>
      <c r="C32" s="4" t="s">
        <v>47</v>
      </c>
      <c r="D32" s="4" t="s">
        <v>36</v>
      </c>
      <c r="E32" s="4" t="s">
        <v>48</v>
      </c>
      <c r="F32" s="4" t="s">
        <v>30</v>
      </c>
      <c r="G32" s="5">
        <v>21976</v>
      </c>
      <c r="H32" s="6">
        <v>45</v>
      </c>
      <c r="I32" s="6">
        <v>120</v>
      </c>
      <c r="J32" s="6">
        <v>450</v>
      </c>
      <c r="K32" s="5">
        <v>38434</v>
      </c>
      <c r="L32" s="6">
        <v>5400</v>
      </c>
      <c r="M32" s="6">
        <v>66</v>
      </c>
      <c r="N32" s="6">
        <v>21</v>
      </c>
      <c r="O32" s="6">
        <v>1620</v>
      </c>
      <c r="P32" s="4" t="s">
        <v>51</v>
      </c>
      <c r="Q32" s="6">
        <v>7020</v>
      </c>
      <c r="R32" s="6">
        <v>6570</v>
      </c>
    </row>
    <row r="33" spans="1:18" ht="19.899999999999999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9.899999999999999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9.899999999999999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9.899999999999999" customHeight="1" x14ac:dyDescent="0.2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  <c r="L36" s="2" t="s">
        <v>12</v>
      </c>
      <c r="M36" s="2" t="s">
        <v>13</v>
      </c>
      <c r="N36" s="2" t="s">
        <v>14</v>
      </c>
      <c r="O36" s="2" t="s">
        <v>15</v>
      </c>
      <c r="P36" s="2" t="s">
        <v>16</v>
      </c>
      <c r="Q36" s="2" t="s">
        <v>17</v>
      </c>
      <c r="R36" s="2" t="s">
        <v>18</v>
      </c>
    </row>
    <row r="37" spans="1:18" ht="19.899999999999999" customHeight="1" x14ac:dyDescent="0.2">
      <c r="A37" s="4">
        <v>1256</v>
      </c>
      <c r="B37" s="4" t="s">
        <v>24</v>
      </c>
      <c r="C37" s="4" t="s">
        <v>25</v>
      </c>
      <c r="D37" s="4" t="s">
        <v>21</v>
      </c>
      <c r="E37" s="4" t="s">
        <v>26</v>
      </c>
      <c r="F37" s="4" t="s">
        <v>23</v>
      </c>
      <c r="G37" s="5">
        <v>23719</v>
      </c>
      <c r="H37" s="6">
        <v>100</v>
      </c>
      <c r="I37" s="6">
        <v>120</v>
      </c>
      <c r="J37" s="6">
        <v>866</v>
      </c>
      <c r="K37" s="5">
        <v>36203</v>
      </c>
      <c r="L37" s="6">
        <v>12000</v>
      </c>
      <c r="M37" s="6">
        <v>61</v>
      </c>
      <c r="N37" s="6">
        <v>27</v>
      </c>
      <c r="O37" s="6">
        <v>3600</v>
      </c>
      <c r="P37" s="4" t="s">
        <v>51</v>
      </c>
      <c r="Q37" s="6">
        <v>15600</v>
      </c>
      <c r="R37" s="6">
        <v>14734</v>
      </c>
    </row>
    <row r="38" spans="1:18" ht="19.899999999999999" customHeight="1" x14ac:dyDescent="0.2">
      <c r="A38" s="4">
        <v>1258</v>
      </c>
      <c r="B38" s="4" t="s">
        <v>27</v>
      </c>
      <c r="C38" s="4" t="s">
        <v>28</v>
      </c>
      <c r="D38" s="4" t="s">
        <v>21</v>
      </c>
      <c r="E38" s="4" t="s">
        <v>29</v>
      </c>
      <c r="F38" s="4" t="s">
        <v>30</v>
      </c>
      <c r="G38" s="5">
        <v>19970</v>
      </c>
      <c r="H38" s="6">
        <v>80</v>
      </c>
      <c r="I38" s="6">
        <v>95</v>
      </c>
      <c r="J38" s="6">
        <v>560</v>
      </c>
      <c r="K38" s="5">
        <v>37963</v>
      </c>
      <c r="L38" s="6">
        <v>7600</v>
      </c>
      <c r="M38" s="6">
        <v>71</v>
      </c>
      <c r="N38" s="6">
        <v>22</v>
      </c>
      <c r="O38" s="6">
        <v>2280</v>
      </c>
      <c r="P38" s="4" t="s">
        <v>51</v>
      </c>
      <c r="Q38" s="6">
        <v>9880</v>
      </c>
      <c r="R38" s="6">
        <v>9320</v>
      </c>
    </row>
    <row r="39" spans="1:18" ht="19.899999999999999" customHeight="1" x14ac:dyDescent="0.2">
      <c r="A39" s="4">
        <v>7896</v>
      </c>
      <c r="B39" s="4" t="s">
        <v>43</v>
      </c>
      <c r="C39" s="4" t="s">
        <v>44</v>
      </c>
      <c r="D39" s="4" t="s">
        <v>36</v>
      </c>
      <c r="E39" s="4" t="s">
        <v>45</v>
      </c>
      <c r="F39" s="4" t="s">
        <v>23</v>
      </c>
      <c r="G39" s="5">
        <v>25356</v>
      </c>
      <c r="H39" s="6">
        <v>90</v>
      </c>
      <c r="I39" s="6">
        <v>80</v>
      </c>
      <c r="J39" s="6">
        <v>550.79999999999995</v>
      </c>
      <c r="K39" s="5">
        <v>36740</v>
      </c>
      <c r="L39" s="6">
        <v>7200</v>
      </c>
      <c r="M39" s="6">
        <v>56</v>
      </c>
      <c r="N39" s="6">
        <v>25</v>
      </c>
      <c r="O39" s="6">
        <v>2160</v>
      </c>
      <c r="P39" s="4" t="s">
        <v>52</v>
      </c>
      <c r="Q39" s="6">
        <v>9360</v>
      </c>
      <c r="R39" s="6">
        <v>8809.2000000000007</v>
      </c>
    </row>
    <row r="40" spans="1:18" ht="19.899999999999999" customHeight="1" x14ac:dyDescent="0.2">
      <c r="A40" s="4">
        <v>9439</v>
      </c>
      <c r="B40" s="4" t="s">
        <v>49</v>
      </c>
      <c r="C40" s="4" t="s">
        <v>50</v>
      </c>
      <c r="D40" s="4" t="s">
        <v>21</v>
      </c>
      <c r="E40" s="4" t="s">
        <v>29</v>
      </c>
      <c r="F40" s="4" t="s">
        <v>30</v>
      </c>
      <c r="G40" s="5">
        <v>25687</v>
      </c>
      <c r="H40" s="6">
        <v>80</v>
      </c>
      <c r="I40" s="6">
        <v>90</v>
      </c>
      <c r="J40" s="6">
        <v>550.70000000000005</v>
      </c>
      <c r="K40" s="5">
        <v>25934</v>
      </c>
      <c r="L40" s="6">
        <v>7200</v>
      </c>
      <c r="M40" s="6">
        <v>55</v>
      </c>
      <c r="N40" s="6">
        <v>55</v>
      </c>
      <c r="O40" s="6">
        <v>2160</v>
      </c>
      <c r="P40" s="4" t="s">
        <v>52</v>
      </c>
      <c r="Q40" s="6">
        <v>9360</v>
      </c>
      <c r="R40" s="6">
        <v>8809.2999999999993</v>
      </c>
    </row>
    <row r="41" spans="1:18" ht="19.899999999999999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</sheetData>
  <autoFilter ref="A12:R14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7"/>
  <sheetViews>
    <sheetView topLeftCell="A5" workbookViewId="0">
      <selection activeCell="L4" sqref="L4"/>
    </sheetView>
  </sheetViews>
  <sheetFormatPr defaultColWidth="8.7421875" defaultRowHeight="15" x14ac:dyDescent="0.2"/>
  <cols>
    <col min="1" max="1" width="11.02734375" customWidth="1"/>
    <col min="2" max="2" width="13.98828125" customWidth="1"/>
    <col min="3" max="3" width="11.97265625" customWidth="1"/>
    <col min="4" max="4" width="9.953125" customWidth="1"/>
    <col min="5" max="6" width="14.9296875" customWidth="1"/>
    <col min="7" max="7" width="16.0078125" customWidth="1"/>
    <col min="8" max="8" width="11.02734375" customWidth="1"/>
    <col min="9" max="9" width="11.97265625" customWidth="1"/>
    <col min="10" max="10" width="11.02734375" customWidth="1"/>
    <col min="11" max="11" width="16.0078125" customWidth="1"/>
    <col min="12" max="12" width="13.046875" customWidth="1"/>
    <col min="13" max="13" width="7.93359375" customWidth="1"/>
    <col min="14" max="15" width="11.02734375" customWidth="1"/>
    <col min="16" max="16" width="9.953125" customWidth="1"/>
    <col min="17" max="18" width="11.97265625" customWidth="1"/>
  </cols>
  <sheetData>
    <row r="1" spans="1:18" ht="19.899999999999999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899999999999999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9.899999999999999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19.899999999999999" customHeight="1" x14ac:dyDescent="0.2">
      <c r="A4" s="4">
        <v>2369</v>
      </c>
      <c r="B4" s="4" t="s">
        <v>31</v>
      </c>
      <c r="C4" s="4" t="s">
        <v>32</v>
      </c>
      <c r="D4" s="4" t="s">
        <v>21</v>
      </c>
      <c r="E4" s="4" t="s">
        <v>22</v>
      </c>
      <c r="F4" s="4" t="s">
        <v>33</v>
      </c>
      <c r="G4" s="5">
        <v>26639</v>
      </c>
      <c r="H4" s="6">
        <v>60</v>
      </c>
      <c r="I4" s="6">
        <v>100</v>
      </c>
      <c r="J4" s="6">
        <v>400</v>
      </c>
      <c r="K4" s="5">
        <v>32296</v>
      </c>
      <c r="L4" s="6">
        <v>6000</v>
      </c>
      <c r="M4" s="6">
        <v>53</v>
      </c>
      <c r="N4" s="6">
        <v>37</v>
      </c>
      <c r="O4" s="6">
        <v>1800</v>
      </c>
      <c r="P4" s="4" t="s">
        <v>52</v>
      </c>
      <c r="Q4" s="6">
        <v>7800</v>
      </c>
      <c r="R4" s="6">
        <v>7400</v>
      </c>
    </row>
    <row r="5" spans="1:18" ht="19.899999999999999" customHeight="1" x14ac:dyDescent="0.2">
      <c r="A5" s="4">
        <v>7412</v>
      </c>
      <c r="B5" s="4" t="s">
        <v>40</v>
      </c>
      <c r="C5" s="4" t="s">
        <v>41</v>
      </c>
      <c r="D5" s="4" t="s">
        <v>21</v>
      </c>
      <c r="E5" s="4" t="s">
        <v>42</v>
      </c>
      <c r="F5" s="4" t="s">
        <v>33</v>
      </c>
      <c r="G5" s="5">
        <v>21764</v>
      </c>
      <c r="H5" s="6">
        <v>45</v>
      </c>
      <c r="I5" s="6">
        <v>120</v>
      </c>
      <c r="J5" s="6">
        <v>500</v>
      </c>
      <c r="K5" s="5">
        <v>38317</v>
      </c>
      <c r="L5" s="6">
        <v>5400</v>
      </c>
      <c r="M5" s="6">
        <v>66</v>
      </c>
      <c r="N5" s="6">
        <v>21</v>
      </c>
      <c r="O5" s="6">
        <v>1620</v>
      </c>
      <c r="P5" s="4" t="s">
        <v>51</v>
      </c>
      <c r="Q5" s="6">
        <v>7020</v>
      </c>
      <c r="R5" s="6">
        <v>6520</v>
      </c>
    </row>
    <row r="6" spans="1:18" ht="19.899999999999999" customHeight="1" x14ac:dyDescent="0.2">
      <c r="A6" s="7"/>
      <c r="B6" s="7"/>
      <c r="C6" s="7"/>
      <c r="D6" s="7"/>
      <c r="E6" s="7"/>
      <c r="F6" s="7"/>
      <c r="G6" s="8"/>
      <c r="H6" s="9"/>
      <c r="I6" s="9"/>
      <c r="J6" s="9"/>
      <c r="K6" s="8"/>
      <c r="L6" s="9"/>
      <c r="M6" s="9"/>
      <c r="N6" s="9"/>
      <c r="O6" s="9">
        <f>SUM(O4:O5)</f>
        <v>3420</v>
      </c>
      <c r="P6" s="7"/>
      <c r="Q6" s="9"/>
      <c r="R6" s="9"/>
    </row>
    <row r="7" spans="1:18" ht="19.899999999999999" customHeight="1" x14ac:dyDescent="0.2">
      <c r="A7" s="4">
        <v>1000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5">
        <v>24364</v>
      </c>
      <c r="H7" s="6">
        <v>60</v>
      </c>
      <c r="I7" s="6">
        <v>100</v>
      </c>
      <c r="J7" s="6">
        <v>491</v>
      </c>
      <c r="K7" s="5">
        <v>32726</v>
      </c>
      <c r="L7" s="6">
        <v>6000</v>
      </c>
      <c r="M7" s="6">
        <v>59</v>
      </c>
      <c r="N7" s="6">
        <v>36</v>
      </c>
      <c r="O7" s="6">
        <v>1800</v>
      </c>
      <c r="P7" s="4" t="s">
        <v>52</v>
      </c>
      <c r="Q7" s="6">
        <v>7800</v>
      </c>
      <c r="R7" s="6">
        <v>7309</v>
      </c>
    </row>
    <row r="8" spans="1:18" ht="19.899999999999999" customHeight="1" x14ac:dyDescent="0.2">
      <c r="A8" s="4">
        <v>1256</v>
      </c>
      <c r="B8" s="4" t="s">
        <v>24</v>
      </c>
      <c r="C8" s="4" t="s">
        <v>25</v>
      </c>
      <c r="D8" s="4" t="s">
        <v>21</v>
      </c>
      <c r="E8" s="4" t="s">
        <v>26</v>
      </c>
      <c r="F8" s="4" t="s">
        <v>23</v>
      </c>
      <c r="G8" s="5">
        <v>23719</v>
      </c>
      <c r="H8" s="6">
        <v>100</v>
      </c>
      <c r="I8" s="6">
        <v>120</v>
      </c>
      <c r="J8" s="6">
        <v>866</v>
      </c>
      <c r="K8" s="5">
        <v>36203</v>
      </c>
      <c r="L8" s="6">
        <v>12000</v>
      </c>
      <c r="M8" s="6">
        <v>61</v>
      </c>
      <c r="N8" s="6">
        <v>27</v>
      </c>
      <c r="O8" s="6">
        <v>3600</v>
      </c>
      <c r="P8" s="4" t="s">
        <v>51</v>
      </c>
      <c r="Q8" s="6">
        <v>15600</v>
      </c>
      <c r="R8" s="6">
        <v>14734</v>
      </c>
    </row>
    <row r="9" spans="1:18" ht="19.899999999999999" customHeight="1" x14ac:dyDescent="0.2">
      <c r="A9" s="4">
        <v>5693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23</v>
      </c>
      <c r="G9" s="5">
        <v>25263</v>
      </c>
      <c r="H9" s="6">
        <v>55</v>
      </c>
      <c r="I9" s="6">
        <v>110</v>
      </c>
      <c r="J9" s="6">
        <v>452.9</v>
      </c>
      <c r="K9" s="5">
        <v>32875</v>
      </c>
      <c r="L9" s="6">
        <v>6050</v>
      </c>
      <c r="M9" s="6">
        <v>57</v>
      </c>
      <c r="N9" s="6">
        <v>36</v>
      </c>
      <c r="O9" s="6">
        <v>1815</v>
      </c>
      <c r="P9" s="4" t="s">
        <v>52</v>
      </c>
      <c r="Q9" s="6">
        <v>7865</v>
      </c>
      <c r="R9" s="6">
        <v>7412.1</v>
      </c>
    </row>
    <row r="10" spans="1:18" ht="19.899999999999999" customHeight="1" x14ac:dyDescent="0.2">
      <c r="A10" s="4">
        <v>6542</v>
      </c>
      <c r="B10" s="4" t="s">
        <v>38</v>
      </c>
      <c r="C10" s="4" t="s">
        <v>39</v>
      </c>
      <c r="D10" s="4" t="s">
        <v>21</v>
      </c>
      <c r="E10" s="4" t="s">
        <v>37</v>
      </c>
      <c r="F10" s="4" t="s">
        <v>23</v>
      </c>
      <c r="G10" s="5">
        <v>23925</v>
      </c>
      <c r="H10" s="6">
        <v>55</v>
      </c>
      <c r="I10" s="6">
        <v>110</v>
      </c>
      <c r="J10" s="6">
        <v>543.70000000000005</v>
      </c>
      <c r="K10" s="5">
        <v>28483</v>
      </c>
      <c r="L10" s="6">
        <v>6050</v>
      </c>
      <c r="M10" s="6">
        <v>60</v>
      </c>
      <c r="N10" s="6">
        <v>48</v>
      </c>
      <c r="O10" s="6">
        <v>1815</v>
      </c>
      <c r="P10" s="4" t="s">
        <v>51</v>
      </c>
      <c r="Q10" s="6">
        <v>7865</v>
      </c>
      <c r="R10" s="6">
        <v>7321.3</v>
      </c>
    </row>
    <row r="11" spans="1:18" ht="19.899999999999999" customHeight="1" x14ac:dyDescent="0.2">
      <c r="A11" s="4">
        <v>7896</v>
      </c>
      <c r="B11" s="4" t="s">
        <v>43</v>
      </c>
      <c r="C11" s="4" t="s">
        <v>44</v>
      </c>
      <c r="D11" s="4" t="s">
        <v>36</v>
      </c>
      <c r="E11" s="4" t="s">
        <v>45</v>
      </c>
      <c r="F11" s="4" t="s">
        <v>23</v>
      </c>
      <c r="G11" s="5">
        <v>25356</v>
      </c>
      <c r="H11" s="6">
        <v>90</v>
      </c>
      <c r="I11" s="6">
        <v>80</v>
      </c>
      <c r="J11" s="6">
        <v>550.79999999999995</v>
      </c>
      <c r="K11" s="5">
        <v>36740</v>
      </c>
      <c r="L11" s="6">
        <v>7200</v>
      </c>
      <c r="M11" s="6">
        <v>56</v>
      </c>
      <c r="N11" s="6">
        <v>25</v>
      </c>
      <c r="O11" s="6">
        <v>2160</v>
      </c>
      <c r="P11" s="4" t="s">
        <v>52</v>
      </c>
      <c r="Q11" s="6">
        <v>9360</v>
      </c>
      <c r="R11" s="6">
        <v>8809.2000000000007</v>
      </c>
    </row>
    <row r="12" spans="1:18" ht="19.899999999999999" customHeight="1" x14ac:dyDescent="0.2">
      <c r="A12" s="7"/>
      <c r="B12" s="7"/>
      <c r="C12" s="7"/>
      <c r="D12" s="7"/>
      <c r="E12" s="7"/>
      <c r="F12" s="7"/>
      <c r="G12" s="8"/>
      <c r="H12" s="9"/>
      <c r="I12" s="9"/>
      <c r="J12" s="9"/>
      <c r="K12" s="8"/>
      <c r="L12" s="9"/>
      <c r="M12" s="9"/>
      <c r="N12" s="9"/>
      <c r="O12" s="9">
        <f>SUM(O7:O11)</f>
        <v>11190</v>
      </c>
      <c r="P12" s="7"/>
      <c r="Q12" s="9"/>
      <c r="R12" s="9"/>
    </row>
    <row r="13" spans="1:18" ht="19.899999999999999" customHeight="1" x14ac:dyDescent="0.2">
      <c r="A13" s="4">
        <v>1258</v>
      </c>
      <c r="B13" s="4" t="s">
        <v>27</v>
      </c>
      <c r="C13" s="4" t="s">
        <v>28</v>
      </c>
      <c r="D13" s="4" t="s">
        <v>21</v>
      </c>
      <c r="E13" s="4" t="s">
        <v>29</v>
      </c>
      <c r="F13" s="4" t="s">
        <v>30</v>
      </c>
      <c r="G13" s="5">
        <v>19970</v>
      </c>
      <c r="H13" s="6">
        <v>80</v>
      </c>
      <c r="I13" s="6">
        <v>95</v>
      </c>
      <c r="J13" s="6">
        <v>560</v>
      </c>
      <c r="K13" s="5">
        <v>37963</v>
      </c>
      <c r="L13" s="6">
        <v>7600</v>
      </c>
      <c r="M13" s="6">
        <v>71</v>
      </c>
      <c r="N13" s="6">
        <v>22</v>
      </c>
      <c r="O13" s="6">
        <v>2280</v>
      </c>
      <c r="P13" s="4" t="s">
        <v>51</v>
      </c>
      <c r="Q13" s="6">
        <v>9880</v>
      </c>
      <c r="R13" s="6">
        <v>9320</v>
      </c>
    </row>
    <row r="14" spans="1:18" ht="19.899999999999999" customHeight="1" x14ac:dyDescent="0.2">
      <c r="A14" s="4">
        <v>8523</v>
      </c>
      <c r="B14" s="4" t="s">
        <v>46</v>
      </c>
      <c r="C14" s="4" t="s">
        <v>47</v>
      </c>
      <c r="D14" s="4" t="s">
        <v>36</v>
      </c>
      <c r="E14" s="4" t="s">
        <v>48</v>
      </c>
      <c r="F14" s="4" t="s">
        <v>30</v>
      </c>
      <c r="G14" s="5">
        <v>21976</v>
      </c>
      <c r="H14" s="6">
        <v>45</v>
      </c>
      <c r="I14" s="6">
        <v>120</v>
      </c>
      <c r="J14" s="6">
        <v>450</v>
      </c>
      <c r="K14" s="5">
        <v>38434</v>
      </c>
      <c r="L14" s="6">
        <v>5400</v>
      </c>
      <c r="M14" s="6">
        <v>66</v>
      </c>
      <c r="N14" s="6">
        <v>21</v>
      </c>
      <c r="O14" s="6">
        <v>1620</v>
      </c>
      <c r="P14" s="4" t="s">
        <v>51</v>
      </c>
      <c r="Q14" s="6">
        <v>7020</v>
      </c>
      <c r="R14" s="6">
        <v>6570</v>
      </c>
    </row>
    <row r="15" spans="1:18" ht="19.899999999999999" customHeight="1" x14ac:dyDescent="0.2">
      <c r="A15" s="4">
        <v>9439</v>
      </c>
      <c r="B15" s="4" t="s">
        <v>49</v>
      </c>
      <c r="C15" s="4" t="s">
        <v>50</v>
      </c>
      <c r="D15" s="4" t="s">
        <v>21</v>
      </c>
      <c r="E15" s="4" t="s">
        <v>29</v>
      </c>
      <c r="F15" s="4" t="s">
        <v>30</v>
      </c>
      <c r="G15" s="5">
        <v>25687</v>
      </c>
      <c r="H15" s="6">
        <v>80</v>
      </c>
      <c r="I15" s="6">
        <v>90</v>
      </c>
      <c r="J15" s="6">
        <v>550.70000000000005</v>
      </c>
      <c r="K15" s="5">
        <v>25934</v>
      </c>
      <c r="L15" s="6">
        <v>7200</v>
      </c>
      <c r="M15" s="6">
        <v>55</v>
      </c>
      <c r="N15" s="6">
        <v>55</v>
      </c>
      <c r="O15" s="6">
        <v>2160</v>
      </c>
      <c r="P15" s="4" t="s">
        <v>52</v>
      </c>
      <c r="Q15" s="6">
        <v>9360</v>
      </c>
      <c r="R15" s="6">
        <v>8809.2999999999993</v>
      </c>
    </row>
    <row r="16" spans="1:18" ht="19.899999999999999" customHeight="1" x14ac:dyDescent="0.2">
      <c r="A16" s="7"/>
      <c r="B16" s="7" t="s">
        <v>55</v>
      </c>
      <c r="C16" s="7"/>
      <c r="D16" s="7"/>
      <c r="E16" s="7"/>
      <c r="F16" s="7"/>
      <c r="G16" s="8"/>
      <c r="H16" s="9"/>
      <c r="I16" s="9"/>
      <c r="J16" s="9"/>
      <c r="K16" s="8"/>
      <c r="L16" s="9"/>
      <c r="M16" s="9"/>
      <c r="N16" s="9"/>
      <c r="O16" s="9">
        <f>SUM(O13:O15)</f>
        <v>6060</v>
      </c>
      <c r="P16" s="7"/>
      <c r="Q16" s="9"/>
      <c r="R16" s="9"/>
    </row>
    <row r="17" spans="1:18" ht="19.899999999999999" customHeight="1" x14ac:dyDescent="0.2">
      <c r="A17" s="7"/>
      <c r="B17" s="7" t="s">
        <v>56</v>
      </c>
      <c r="C17" s="7"/>
      <c r="D17" s="7"/>
      <c r="E17" s="7"/>
      <c r="F17" s="7"/>
      <c r="G17" s="8"/>
      <c r="H17" s="9"/>
      <c r="I17" s="9"/>
      <c r="J17" s="9"/>
      <c r="K17" s="8"/>
      <c r="L17" s="9"/>
      <c r="M17" s="9"/>
      <c r="N17" s="9"/>
      <c r="O17" s="9">
        <f>SUM(O4:O15)</f>
        <v>35280</v>
      </c>
      <c r="P17" s="7"/>
      <c r="Q17" s="9"/>
      <c r="R17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2"/>
  <sheetViews>
    <sheetView topLeftCell="A43" workbookViewId="0">
      <selection activeCell="C25" sqref="C25"/>
    </sheetView>
  </sheetViews>
  <sheetFormatPr defaultColWidth="8.7421875" defaultRowHeight="15" x14ac:dyDescent="0.2"/>
  <cols>
    <col min="1" max="1" width="11.02734375" customWidth="1"/>
    <col min="2" max="2" width="14.9296875" customWidth="1"/>
    <col min="3" max="3" width="11.97265625" customWidth="1"/>
    <col min="4" max="4" width="13.98828125" customWidth="1"/>
    <col min="5" max="8" width="9.953125" customWidth="1"/>
  </cols>
  <sheetData>
    <row r="1" spans="1:8" ht="19.899999999999999" customHeight="1" x14ac:dyDescent="0.2">
      <c r="A1" s="1"/>
      <c r="B1" s="1"/>
      <c r="C1" s="1"/>
      <c r="D1" s="10"/>
      <c r="E1" s="1"/>
      <c r="F1" s="1"/>
      <c r="G1" s="1"/>
      <c r="H1" s="1"/>
    </row>
    <row r="2" spans="1:8" ht="19.899999999999999" customHeight="1" x14ac:dyDescent="0.2">
      <c r="A2" s="4"/>
      <c r="B2" s="4"/>
      <c r="C2" s="4"/>
      <c r="D2" s="6"/>
      <c r="E2" s="4"/>
      <c r="F2" s="4"/>
      <c r="G2" s="4"/>
      <c r="H2" s="4"/>
    </row>
    <row r="3" spans="1:8" ht="19.899999999999999" customHeight="1" x14ac:dyDescent="0.2">
      <c r="A3" s="1"/>
      <c r="B3" s="1"/>
      <c r="C3" s="1"/>
      <c r="D3" s="10"/>
      <c r="E3" s="1"/>
      <c r="F3" s="1"/>
      <c r="G3" s="1"/>
      <c r="H3" s="1"/>
    </row>
    <row r="4" spans="1:8" ht="19.899999999999999" customHeight="1" x14ac:dyDescent="0.2">
      <c r="A4" s="2" t="s">
        <v>1</v>
      </c>
      <c r="B4" s="2" t="s">
        <v>2</v>
      </c>
      <c r="C4" s="2" t="s">
        <v>4</v>
      </c>
      <c r="D4" s="11" t="s">
        <v>12</v>
      </c>
      <c r="E4" s="4"/>
      <c r="F4" s="4"/>
      <c r="G4" s="4"/>
      <c r="H4" s="4"/>
    </row>
    <row r="5" spans="1:8" ht="19.899999999999999" customHeight="1" x14ac:dyDescent="0.2">
      <c r="A5" s="4">
        <v>5693</v>
      </c>
      <c r="B5" s="4" t="s">
        <v>34</v>
      </c>
      <c r="C5" s="4" t="s">
        <v>36</v>
      </c>
      <c r="D5" s="6">
        <v>6050</v>
      </c>
      <c r="E5" s="4"/>
      <c r="F5" s="4"/>
      <c r="G5" s="4"/>
      <c r="H5" s="4"/>
    </row>
    <row r="6" spans="1:8" ht="19.899999999999999" customHeight="1" x14ac:dyDescent="0.2">
      <c r="A6" s="4">
        <v>7896</v>
      </c>
      <c r="B6" s="4" t="s">
        <v>43</v>
      </c>
      <c r="C6" s="4" t="s">
        <v>36</v>
      </c>
      <c r="D6" s="6">
        <v>7200</v>
      </c>
      <c r="E6" s="4"/>
      <c r="F6" s="4"/>
      <c r="G6" s="4"/>
      <c r="H6" s="4"/>
    </row>
    <row r="7" spans="1:8" ht="19.899999999999999" customHeight="1" x14ac:dyDescent="0.2">
      <c r="A7" s="4">
        <v>8523</v>
      </c>
      <c r="B7" s="4" t="s">
        <v>46</v>
      </c>
      <c r="C7" s="4" t="s">
        <v>36</v>
      </c>
      <c r="D7" s="6">
        <v>5400</v>
      </c>
      <c r="E7" s="4"/>
      <c r="F7" s="4"/>
      <c r="G7" s="4"/>
      <c r="H7" s="4"/>
    </row>
    <row r="8" spans="1:8" ht="19.899999999999999" customHeight="1" x14ac:dyDescent="0.2">
      <c r="A8" s="7"/>
      <c r="B8" s="7" t="s">
        <v>57</v>
      </c>
      <c r="C8" s="7"/>
      <c r="D8" s="9">
        <f>AVERAGE(D5:D7)</f>
        <v>6216.666666666667</v>
      </c>
      <c r="E8" s="7"/>
      <c r="F8" s="7"/>
      <c r="G8" s="7"/>
      <c r="H8" s="7"/>
    </row>
    <row r="9" spans="1:8" ht="19.899999999999999" customHeight="1" x14ac:dyDescent="0.2">
      <c r="A9" s="4">
        <v>1000</v>
      </c>
      <c r="B9" s="4" t="s">
        <v>19</v>
      </c>
      <c r="C9" s="4" t="s">
        <v>21</v>
      </c>
      <c r="D9" s="6">
        <v>6000</v>
      </c>
      <c r="E9" s="4"/>
      <c r="F9" s="4"/>
      <c r="G9" s="4"/>
      <c r="H9" s="4"/>
    </row>
    <row r="10" spans="1:8" ht="19.899999999999999" customHeight="1" x14ac:dyDescent="0.2">
      <c r="A10" s="4">
        <v>1256</v>
      </c>
      <c r="B10" s="4" t="s">
        <v>24</v>
      </c>
      <c r="C10" s="4" t="s">
        <v>21</v>
      </c>
      <c r="D10" s="6">
        <v>12000</v>
      </c>
      <c r="E10" s="4"/>
      <c r="F10" s="4"/>
      <c r="G10" s="4"/>
      <c r="H10" s="4"/>
    </row>
    <row r="11" spans="1:8" ht="19.899999999999999" customHeight="1" x14ac:dyDescent="0.2">
      <c r="A11" s="4">
        <v>1258</v>
      </c>
      <c r="B11" s="4" t="s">
        <v>27</v>
      </c>
      <c r="C11" s="4" t="s">
        <v>21</v>
      </c>
      <c r="D11" s="6">
        <v>7600</v>
      </c>
      <c r="E11" s="4"/>
      <c r="F11" s="4"/>
      <c r="G11" s="4"/>
      <c r="H11" s="4"/>
    </row>
    <row r="12" spans="1:8" ht="19.899999999999999" customHeight="1" x14ac:dyDescent="0.2">
      <c r="A12" s="4">
        <v>2369</v>
      </c>
      <c r="B12" s="4" t="s">
        <v>31</v>
      </c>
      <c r="C12" s="4" t="s">
        <v>21</v>
      </c>
      <c r="D12" s="6">
        <v>6000</v>
      </c>
      <c r="E12" s="4"/>
      <c r="F12" s="4"/>
      <c r="G12" s="4"/>
      <c r="H12" s="4"/>
    </row>
    <row r="13" spans="1:8" ht="19.899999999999999" customHeight="1" x14ac:dyDescent="0.2">
      <c r="A13" s="4">
        <v>6542</v>
      </c>
      <c r="B13" s="4" t="s">
        <v>38</v>
      </c>
      <c r="C13" s="4" t="s">
        <v>21</v>
      </c>
      <c r="D13" s="6">
        <v>6050</v>
      </c>
      <c r="E13" s="4"/>
      <c r="F13" s="4"/>
      <c r="G13" s="4"/>
      <c r="H13" s="4"/>
    </row>
    <row r="14" spans="1:8" ht="19.899999999999999" customHeight="1" x14ac:dyDescent="0.2">
      <c r="A14" s="4">
        <v>7412</v>
      </c>
      <c r="B14" s="4" t="s">
        <v>40</v>
      </c>
      <c r="C14" s="4" t="s">
        <v>21</v>
      </c>
      <c r="D14" s="6">
        <v>5400</v>
      </c>
      <c r="E14" s="4"/>
      <c r="F14" s="4"/>
      <c r="G14" s="4"/>
      <c r="H14" s="4"/>
    </row>
    <row r="15" spans="1:8" ht="19.899999999999999" customHeight="1" x14ac:dyDescent="0.2">
      <c r="A15" s="4">
        <v>9439</v>
      </c>
      <c r="B15" s="4" t="s">
        <v>49</v>
      </c>
      <c r="C15" s="4" t="s">
        <v>21</v>
      </c>
      <c r="D15" s="6">
        <v>7200</v>
      </c>
      <c r="E15" s="4"/>
      <c r="F15" s="4"/>
      <c r="G15" s="4"/>
      <c r="H15" s="4"/>
    </row>
    <row r="16" spans="1:8" ht="19.899999999999999" customHeight="1" x14ac:dyDescent="0.2">
      <c r="A16" s="7"/>
      <c r="B16" s="7" t="s">
        <v>58</v>
      </c>
      <c r="C16" s="7"/>
      <c r="D16" s="9">
        <f>AVERAGE(D9:D15)</f>
        <v>7178.5714285714284</v>
      </c>
      <c r="E16" s="7"/>
      <c r="F16" s="7"/>
      <c r="G16" s="7"/>
      <c r="H16" s="7"/>
    </row>
    <row r="17" spans="1:8" ht="19.899999999999999" customHeight="1" x14ac:dyDescent="0.2">
      <c r="A17" s="7"/>
      <c r="B17" s="7" t="s">
        <v>56</v>
      </c>
      <c r="C17" s="7"/>
      <c r="D17" s="9">
        <f>AVERAGE(D5:D15)</f>
        <v>6828.787878787879</v>
      </c>
      <c r="E17" s="7"/>
      <c r="F17" s="7"/>
      <c r="G17" s="7"/>
      <c r="H17" s="7"/>
    </row>
    <row r="18" spans="1:8" ht="19.899999999999999" customHeight="1" x14ac:dyDescent="0.2">
      <c r="D18" s="12"/>
    </row>
    <row r="19" spans="1:8" ht="19.899999999999999" customHeight="1" x14ac:dyDescent="0.2">
      <c r="D19" s="12"/>
    </row>
    <row r="20" spans="1:8" ht="19.899999999999999" customHeight="1" x14ac:dyDescent="0.2">
      <c r="A20" s="1"/>
      <c r="B20" s="1"/>
      <c r="C20" s="1"/>
      <c r="D20" s="10"/>
      <c r="E20" s="1"/>
      <c r="F20" s="1"/>
      <c r="G20" s="1"/>
      <c r="H20" s="1"/>
    </row>
    <row r="21" spans="1:8" ht="19.899999999999999" customHeight="1" x14ac:dyDescent="0.2">
      <c r="A21" s="2" t="s">
        <v>1</v>
      </c>
      <c r="B21" s="2" t="s">
        <v>2</v>
      </c>
      <c r="C21" s="2" t="s">
        <v>6</v>
      </c>
      <c r="D21" s="11" t="s">
        <v>59</v>
      </c>
      <c r="E21" s="4"/>
      <c r="F21" s="4"/>
      <c r="G21" s="4"/>
      <c r="H21" s="4"/>
    </row>
    <row r="22" spans="1:8" ht="19.899999999999999" customHeight="1" x14ac:dyDescent="0.2">
      <c r="A22" s="4">
        <v>2369</v>
      </c>
      <c r="B22" s="4" t="s">
        <v>31</v>
      </c>
      <c r="C22" s="4" t="s">
        <v>33</v>
      </c>
      <c r="D22" s="6"/>
      <c r="E22" s="4"/>
      <c r="F22" s="4"/>
      <c r="G22" s="4"/>
      <c r="H22" s="4"/>
    </row>
    <row r="23" spans="1:8" ht="19.899999999999999" customHeight="1" x14ac:dyDescent="0.2">
      <c r="A23" s="4">
        <v>7412</v>
      </c>
      <c r="B23" s="4" t="s">
        <v>40</v>
      </c>
      <c r="C23" s="4" t="s">
        <v>33</v>
      </c>
      <c r="D23" s="6"/>
      <c r="E23" s="4"/>
      <c r="F23" s="4"/>
      <c r="G23" s="4"/>
      <c r="H23" s="4"/>
    </row>
    <row r="24" spans="1:8" ht="19.899999999999999" customHeight="1" x14ac:dyDescent="0.2">
      <c r="A24" s="7"/>
      <c r="B24" s="7" t="s">
        <v>53</v>
      </c>
      <c r="C24" s="7"/>
      <c r="D24" s="9">
        <f>COUNTA(A22:A23)</f>
        <v>2</v>
      </c>
      <c r="E24" s="7"/>
      <c r="F24" s="7"/>
      <c r="G24" s="7"/>
      <c r="H24" s="7"/>
    </row>
    <row r="25" spans="1:8" ht="19.899999999999999" customHeight="1" x14ac:dyDescent="0.2">
      <c r="A25" s="4">
        <v>1000</v>
      </c>
      <c r="B25" s="4" t="s">
        <v>19</v>
      </c>
      <c r="C25" s="4" t="s">
        <v>23</v>
      </c>
      <c r="D25" s="6"/>
      <c r="E25" s="4"/>
      <c r="F25" s="4"/>
      <c r="G25" s="4"/>
      <c r="H25" s="4"/>
    </row>
    <row r="26" spans="1:8" ht="19.899999999999999" customHeight="1" x14ac:dyDescent="0.2">
      <c r="A26" s="4">
        <v>1256</v>
      </c>
      <c r="B26" s="4" t="s">
        <v>24</v>
      </c>
      <c r="C26" s="4" t="s">
        <v>23</v>
      </c>
      <c r="D26" s="6"/>
      <c r="E26" s="4"/>
      <c r="F26" s="4"/>
      <c r="G26" s="4"/>
      <c r="H26" s="4"/>
    </row>
    <row r="27" spans="1:8" ht="19.899999999999999" customHeight="1" x14ac:dyDescent="0.2">
      <c r="A27" s="4">
        <v>5693</v>
      </c>
      <c r="B27" s="4" t="s">
        <v>34</v>
      </c>
      <c r="C27" s="4" t="s">
        <v>23</v>
      </c>
      <c r="D27" s="6"/>
      <c r="E27" s="4"/>
      <c r="F27" s="4"/>
      <c r="G27" s="4"/>
      <c r="H27" s="4"/>
    </row>
    <row r="28" spans="1:8" ht="19.899999999999999" customHeight="1" x14ac:dyDescent="0.2">
      <c r="A28" s="4">
        <v>6542</v>
      </c>
      <c r="B28" s="4" t="s">
        <v>38</v>
      </c>
      <c r="C28" s="4" t="s">
        <v>23</v>
      </c>
      <c r="D28" s="6"/>
      <c r="E28" s="4"/>
      <c r="F28" s="4"/>
      <c r="G28" s="4"/>
      <c r="H28" s="4"/>
    </row>
    <row r="29" spans="1:8" ht="19.899999999999999" customHeight="1" x14ac:dyDescent="0.2">
      <c r="A29" s="4">
        <v>7896</v>
      </c>
      <c r="B29" s="4" t="s">
        <v>43</v>
      </c>
      <c r="C29" s="4" t="s">
        <v>23</v>
      </c>
      <c r="D29" s="6"/>
      <c r="E29" s="4"/>
      <c r="F29" s="4"/>
      <c r="G29" s="4"/>
      <c r="H29" s="4"/>
    </row>
    <row r="30" spans="1:8" ht="19.899999999999999" customHeight="1" x14ac:dyDescent="0.2">
      <c r="A30" s="7"/>
      <c r="B30" s="7" t="s">
        <v>54</v>
      </c>
      <c r="C30" s="7"/>
      <c r="D30" s="9">
        <f>COUNTA(A25:A29)</f>
        <v>5</v>
      </c>
      <c r="E30" s="7"/>
      <c r="F30" s="7"/>
      <c r="G30" s="7"/>
      <c r="H30" s="7"/>
    </row>
    <row r="31" spans="1:8" ht="19.899999999999999" customHeight="1" x14ac:dyDescent="0.2">
      <c r="A31" s="4">
        <v>1258</v>
      </c>
      <c r="B31" s="4" t="s">
        <v>27</v>
      </c>
      <c r="C31" s="4" t="s">
        <v>30</v>
      </c>
      <c r="D31" s="6"/>
      <c r="E31" s="4"/>
      <c r="F31" s="4"/>
      <c r="G31" s="4"/>
      <c r="H31" s="4"/>
    </row>
    <row r="32" spans="1:8" ht="19.899999999999999" customHeight="1" x14ac:dyDescent="0.2">
      <c r="A32" s="4">
        <v>8523</v>
      </c>
      <c r="B32" s="4" t="s">
        <v>46</v>
      </c>
      <c r="C32" s="4" t="s">
        <v>30</v>
      </c>
      <c r="D32" s="6"/>
      <c r="E32" s="4"/>
      <c r="F32" s="4"/>
      <c r="G32" s="4"/>
      <c r="H32" s="4"/>
    </row>
    <row r="33" spans="1:8" ht="19.899999999999999" customHeight="1" x14ac:dyDescent="0.2">
      <c r="A33" s="4">
        <v>9439</v>
      </c>
      <c r="B33" s="4" t="s">
        <v>49</v>
      </c>
      <c r="C33" s="4" t="s">
        <v>30</v>
      </c>
      <c r="D33" s="6"/>
      <c r="E33" s="4"/>
      <c r="F33" s="4"/>
      <c r="G33" s="4"/>
      <c r="H33" s="4"/>
    </row>
    <row r="34" spans="1:8" ht="19.899999999999999" customHeight="1" x14ac:dyDescent="0.2">
      <c r="A34" s="7"/>
      <c r="B34" s="7" t="s">
        <v>55</v>
      </c>
      <c r="C34" s="7"/>
      <c r="D34" s="9">
        <f>COUNTA(A31:A33)</f>
        <v>3</v>
      </c>
      <c r="E34" s="7"/>
      <c r="F34" s="7"/>
      <c r="G34" s="7"/>
      <c r="H34" s="7"/>
    </row>
    <row r="35" spans="1:8" ht="19.899999999999999" customHeight="1" x14ac:dyDescent="0.2">
      <c r="A35" s="7"/>
      <c r="B35" s="7" t="s">
        <v>56</v>
      </c>
      <c r="C35" s="7"/>
      <c r="D35" s="9">
        <f>COUNTA(A22:A33)</f>
        <v>10</v>
      </c>
      <c r="E35" s="7"/>
      <c r="F35" s="7"/>
      <c r="G35" s="7"/>
      <c r="H35" s="7"/>
    </row>
    <row r="36" spans="1:8" ht="19.899999999999999" customHeight="1" x14ac:dyDescent="0.2">
      <c r="D36" s="12"/>
    </row>
    <row r="37" spans="1:8" ht="19.899999999999999" customHeight="1" x14ac:dyDescent="0.2">
      <c r="D37" s="12"/>
    </row>
    <row r="38" spans="1:8" ht="19.899999999999999" customHeight="1" x14ac:dyDescent="0.2">
      <c r="A38" s="1"/>
      <c r="B38" s="1"/>
      <c r="C38" s="1"/>
      <c r="D38" s="10"/>
      <c r="E38" s="1"/>
      <c r="F38" s="1"/>
      <c r="G38" s="1"/>
      <c r="H38" s="1"/>
    </row>
    <row r="39" spans="1:8" ht="19.899999999999999" customHeight="1" x14ac:dyDescent="0.2">
      <c r="A39" s="2" t="s">
        <v>1</v>
      </c>
      <c r="B39" s="2" t="s">
        <v>2</v>
      </c>
      <c r="C39" s="2" t="s">
        <v>4</v>
      </c>
      <c r="D39" s="11" t="s">
        <v>15</v>
      </c>
      <c r="E39" s="4"/>
      <c r="F39" s="4"/>
      <c r="G39" s="4"/>
      <c r="H39" s="4"/>
    </row>
    <row r="40" spans="1:8" ht="19.899999999999999" customHeight="1" x14ac:dyDescent="0.2">
      <c r="A40" s="4">
        <v>5693</v>
      </c>
      <c r="B40" s="4" t="s">
        <v>34</v>
      </c>
      <c r="C40" s="4" t="s">
        <v>36</v>
      </c>
      <c r="D40" s="6">
        <v>1815</v>
      </c>
      <c r="E40" s="4"/>
      <c r="F40" s="4"/>
      <c r="G40" s="4"/>
      <c r="H40" s="4"/>
    </row>
    <row r="41" spans="1:8" ht="19.899999999999999" customHeight="1" x14ac:dyDescent="0.2">
      <c r="A41" s="4">
        <v>7896</v>
      </c>
      <c r="B41" s="4" t="s">
        <v>43</v>
      </c>
      <c r="C41" s="4" t="s">
        <v>36</v>
      </c>
      <c r="D41" s="6">
        <v>2160</v>
      </c>
      <c r="E41" s="4"/>
      <c r="F41" s="4"/>
      <c r="G41" s="4"/>
      <c r="H41" s="4"/>
    </row>
    <row r="42" spans="1:8" ht="19.899999999999999" customHeight="1" x14ac:dyDescent="0.2">
      <c r="A42" s="4">
        <v>8523</v>
      </c>
      <c r="B42" s="4" t="s">
        <v>46</v>
      </c>
      <c r="C42" s="4" t="s">
        <v>36</v>
      </c>
      <c r="D42" s="6">
        <v>1620</v>
      </c>
      <c r="E42" s="4"/>
      <c r="F42" s="4"/>
      <c r="G42" s="4"/>
      <c r="H42" s="4"/>
    </row>
    <row r="43" spans="1:8" ht="19.899999999999999" customHeight="1" x14ac:dyDescent="0.2">
      <c r="A43" s="7"/>
      <c r="B43" s="7" t="s">
        <v>57</v>
      </c>
      <c r="C43" s="7"/>
      <c r="D43" s="9">
        <f>AVERAGE(D40:D42)</f>
        <v>1865</v>
      </c>
      <c r="E43" s="7"/>
      <c r="F43" s="7"/>
      <c r="G43" s="7"/>
      <c r="H43" s="7"/>
    </row>
    <row r="44" spans="1:8" ht="19.899999999999999" customHeight="1" x14ac:dyDescent="0.2">
      <c r="A44" s="4">
        <v>1000</v>
      </c>
      <c r="B44" s="4" t="s">
        <v>19</v>
      </c>
      <c r="C44" s="4" t="s">
        <v>21</v>
      </c>
      <c r="D44" s="6">
        <v>1800</v>
      </c>
      <c r="E44" s="4"/>
      <c r="F44" s="4"/>
      <c r="G44" s="4"/>
      <c r="H44" s="4"/>
    </row>
    <row r="45" spans="1:8" ht="19.899999999999999" customHeight="1" x14ac:dyDescent="0.2">
      <c r="A45" s="4">
        <v>1256</v>
      </c>
      <c r="B45" s="4" t="s">
        <v>24</v>
      </c>
      <c r="C45" s="4" t="s">
        <v>21</v>
      </c>
      <c r="D45" s="6">
        <v>3600</v>
      </c>
      <c r="E45" s="4"/>
      <c r="F45" s="4"/>
      <c r="G45" s="4"/>
      <c r="H45" s="4"/>
    </row>
    <row r="46" spans="1:8" ht="19.899999999999999" customHeight="1" x14ac:dyDescent="0.2">
      <c r="A46" s="4">
        <v>1258</v>
      </c>
      <c r="B46" s="4" t="s">
        <v>27</v>
      </c>
      <c r="C46" s="4" t="s">
        <v>21</v>
      </c>
      <c r="D46" s="6">
        <v>2280</v>
      </c>
      <c r="E46" s="4"/>
      <c r="F46" s="4"/>
      <c r="G46" s="4"/>
      <c r="H46" s="4"/>
    </row>
    <row r="47" spans="1:8" ht="19.899999999999999" customHeight="1" x14ac:dyDescent="0.2">
      <c r="A47" s="4">
        <v>2369</v>
      </c>
      <c r="B47" s="4" t="s">
        <v>31</v>
      </c>
      <c r="C47" s="4" t="s">
        <v>21</v>
      </c>
      <c r="D47" s="6">
        <v>1800</v>
      </c>
      <c r="E47" s="4"/>
      <c r="F47" s="4"/>
      <c r="G47" s="4"/>
      <c r="H47" s="4"/>
    </row>
    <row r="48" spans="1:8" ht="19.899999999999999" customHeight="1" x14ac:dyDescent="0.2">
      <c r="A48" s="4">
        <v>6542</v>
      </c>
      <c r="B48" s="4" t="s">
        <v>38</v>
      </c>
      <c r="C48" s="4" t="s">
        <v>21</v>
      </c>
      <c r="D48" s="6">
        <v>1815</v>
      </c>
      <c r="E48" s="4"/>
      <c r="F48" s="4"/>
      <c r="G48" s="4"/>
      <c r="H48" s="4"/>
    </row>
    <row r="49" spans="1:8" ht="19.899999999999999" customHeight="1" x14ac:dyDescent="0.2">
      <c r="A49" s="4">
        <v>7412</v>
      </c>
      <c r="B49" s="4" t="s">
        <v>40</v>
      </c>
      <c r="C49" s="4" t="s">
        <v>21</v>
      </c>
      <c r="D49" s="6">
        <v>1620</v>
      </c>
      <c r="E49" s="4"/>
      <c r="F49" s="4"/>
      <c r="G49" s="4"/>
      <c r="H49" s="4"/>
    </row>
    <row r="50" spans="1:8" ht="19.899999999999999" customHeight="1" x14ac:dyDescent="0.2">
      <c r="A50" s="4">
        <v>9439</v>
      </c>
      <c r="B50" s="4" t="s">
        <v>49</v>
      </c>
      <c r="C50" s="4" t="s">
        <v>21</v>
      </c>
      <c r="D50" s="6">
        <v>2160</v>
      </c>
      <c r="E50" s="4"/>
      <c r="F50" s="4"/>
      <c r="G50" s="4"/>
      <c r="H50" s="4"/>
    </row>
    <row r="51" spans="1:8" ht="19.899999999999999" customHeight="1" x14ac:dyDescent="0.2">
      <c r="A51" s="7"/>
      <c r="B51" s="7" t="s">
        <v>58</v>
      </c>
      <c r="C51" s="7"/>
      <c r="D51" s="9">
        <f>AVERAGE(D44:D50)</f>
        <v>2153.5714285714284</v>
      </c>
      <c r="E51" s="7"/>
      <c r="F51" s="7"/>
      <c r="G51" s="7"/>
      <c r="H51" s="7"/>
    </row>
    <row r="52" spans="1:8" ht="19.899999999999999" customHeight="1" x14ac:dyDescent="0.2">
      <c r="A52" s="7"/>
      <c r="B52" s="7" t="s">
        <v>56</v>
      </c>
      <c r="C52" s="7"/>
      <c r="D52" s="9">
        <f>AVERAGE(D40:D50)</f>
        <v>2048.6363636363635</v>
      </c>
      <c r="E52" s="7"/>
      <c r="F52" s="7"/>
      <c r="G52" s="7"/>
      <c r="H5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bd_janvier</vt:lpstr>
      <vt:lpstr>Tri_Service</vt:lpstr>
      <vt:lpstr>Tri_2Cles</vt:lpstr>
      <vt:lpstr>Tri_Fonction</vt:lpstr>
      <vt:lpstr>Filtres</vt:lpstr>
      <vt:lpstr>ST_Primes_Service</vt:lpstr>
      <vt:lpstr>ST_Autres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Bassma Chat</dc:creator>
  <cp:lastModifiedBy>Bassma CHAT</cp:lastModifiedBy>
  <dcterms:created xsi:type="dcterms:W3CDTF">2026-03-26T20:33:00Z</dcterms:created>
  <dcterms:modified xsi:type="dcterms:W3CDTF">2026-03-26T19:44:41Z</dcterms:modified>
</cp:coreProperties>
</file>